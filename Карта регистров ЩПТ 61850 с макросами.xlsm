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nshubadeev\Desktop\18 команда 61850 ЩПТ\"/>
    </mc:Choice>
  </mc:AlternateContent>
  <xr:revisionPtr revIDLastSave="0" documentId="13_ncr:1_{50BCD205-A1D3-4DCB-8388-9F0A0DCE6318}" xr6:coauthVersionLast="36" xr6:coauthVersionMax="36" xr10:uidLastSave="{00000000-0000-0000-0000-000000000000}"/>
  <bookViews>
    <workbookView xWindow="31428" yWindow="1128" windowWidth="14400" windowHeight="15756" activeTab="4" xr2:uid="{00000000-000D-0000-FFFF-FFFF00000000}"/>
  </bookViews>
  <sheets>
    <sheet name="адреса 61850" sheetId="2" r:id="rId1"/>
    <sheet name="адреса 60870" sheetId="6" r:id="rId2"/>
    <sheet name="приборы" sheetId="3" r:id="rId3"/>
    <sheet name="Лист2" sheetId="8" state="hidden" r:id="rId4"/>
    <sheet name="Рабочка" sheetId="75" r:id="rId5"/>
  </sheets>
  <definedNames>
    <definedName name="_xlnm.Print_Area" localSheetId="1">'адреса 60870'!$A$1:$J$306</definedName>
    <definedName name="_xlnm.Print_Area" localSheetId="0">'адреса 61850'!$A$1:$J$397</definedName>
  </definedNames>
  <calcPr calcId="191029"/>
</workbook>
</file>

<file path=xl/calcChain.xml><?xml version="1.0" encoding="utf-8"?>
<calcChain xmlns="http://schemas.openxmlformats.org/spreadsheetml/2006/main">
  <c r="M59" i="2" l="1"/>
  <c r="M60" i="2" s="1"/>
  <c r="M58" i="2"/>
  <c r="M25" i="2"/>
  <c r="M26" i="2" s="1"/>
  <c r="M24" i="2"/>
  <c r="M82" i="75"/>
  <c r="M81" i="75"/>
  <c r="M115" i="75"/>
  <c r="M116" i="75" s="1"/>
  <c r="M99" i="75"/>
  <c r="M100" i="75" s="1"/>
  <c r="N259" i="75"/>
  <c r="N260" i="75" s="1"/>
  <c r="N261" i="75" s="1"/>
  <c r="N262" i="75" s="1"/>
  <c r="N263" i="75" s="1"/>
  <c r="N264" i="75" s="1"/>
  <c r="N265" i="75" s="1"/>
  <c r="N266" i="75" s="1"/>
  <c r="N267" i="75" s="1"/>
  <c r="N268" i="75" s="1"/>
  <c r="N269" i="75" s="1"/>
  <c r="N270" i="75" s="1"/>
  <c r="N271" i="75" s="1"/>
  <c r="N272" i="75" s="1"/>
  <c r="N258" i="75"/>
  <c r="L259" i="75"/>
  <c r="L260" i="75"/>
  <c r="L261" i="75" s="1"/>
  <c r="L262" i="75" s="1"/>
  <c r="L263" i="75" s="1"/>
  <c r="L264" i="75" s="1"/>
  <c r="L265" i="75" s="1"/>
  <c r="L266" i="75" s="1"/>
  <c r="L267" i="75" s="1"/>
  <c r="L268" i="75" s="1"/>
  <c r="L269" i="75" s="1"/>
  <c r="L270" i="75" s="1"/>
  <c r="L271" i="75" s="1"/>
  <c r="L272" i="75" s="1"/>
  <c r="L258" i="75"/>
  <c r="K258" i="75"/>
  <c r="K259" i="75" s="1"/>
  <c r="K260" i="75" s="1"/>
  <c r="K261" i="75" s="1"/>
  <c r="K262" i="75" s="1"/>
  <c r="K263" i="75" s="1"/>
  <c r="K264" i="75" s="1"/>
  <c r="K265" i="75" s="1"/>
  <c r="K266" i="75" s="1"/>
  <c r="K267" i="75" s="1"/>
  <c r="K268" i="75" s="1"/>
  <c r="K269" i="75" s="1"/>
  <c r="K270" i="75" s="1"/>
  <c r="K271" i="75" s="1"/>
  <c r="K272" i="75" s="1"/>
  <c r="N241" i="75"/>
  <c r="N242" i="75" s="1"/>
  <c r="N243" i="75" s="1"/>
  <c r="N244" i="75" s="1"/>
  <c r="N245" i="75" s="1"/>
  <c r="N246" i="75" s="1"/>
  <c r="N247" i="75" s="1"/>
  <c r="N248" i="75" s="1"/>
  <c r="N249" i="75" s="1"/>
  <c r="N250" i="75" s="1"/>
  <c r="N251" i="75" s="1"/>
  <c r="N252" i="75" s="1"/>
  <c r="N253" i="75" s="1"/>
  <c r="N254" i="75" s="1"/>
  <c r="N240" i="75"/>
  <c r="L241" i="75"/>
  <c r="L242" i="75"/>
  <c r="L243" i="75" s="1"/>
  <c r="L244" i="75" s="1"/>
  <c r="L245" i="75" s="1"/>
  <c r="L246" i="75" s="1"/>
  <c r="L247" i="75" s="1"/>
  <c r="L248" i="75" s="1"/>
  <c r="L249" i="75" s="1"/>
  <c r="L250" i="75" s="1"/>
  <c r="L251" i="75" s="1"/>
  <c r="L252" i="75" s="1"/>
  <c r="L253" i="75" s="1"/>
  <c r="L254" i="75" s="1"/>
  <c r="L240" i="75"/>
  <c r="K240" i="75"/>
  <c r="K241" i="75" s="1"/>
  <c r="K242" i="75" s="1"/>
  <c r="K243" i="75" s="1"/>
  <c r="K244" i="75" s="1"/>
  <c r="K245" i="75" s="1"/>
  <c r="K246" i="75" s="1"/>
  <c r="K247" i="75" s="1"/>
  <c r="K248" i="75" s="1"/>
  <c r="K249" i="75" s="1"/>
  <c r="K250" i="75" s="1"/>
  <c r="K251" i="75" s="1"/>
  <c r="K252" i="75" s="1"/>
  <c r="K253" i="75" s="1"/>
  <c r="K254" i="75" s="1"/>
  <c r="N223" i="75"/>
  <c r="N224" i="75" s="1"/>
  <c r="N225" i="75" s="1"/>
  <c r="N226" i="75" s="1"/>
  <c r="N227" i="75" s="1"/>
  <c r="N228" i="75" s="1"/>
  <c r="N229" i="75" s="1"/>
  <c r="N230" i="75" s="1"/>
  <c r="N231" i="75" s="1"/>
  <c r="N232" i="75" s="1"/>
  <c r="N233" i="75" s="1"/>
  <c r="N234" i="75" s="1"/>
  <c r="N235" i="75" s="1"/>
  <c r="N236" i="75" s="1"/>
  <c r="N222" i="75"/>
  <c r="L223" i="75"/>
  <c r="L224" i="75"/>
  <c r="L225" i="75" s="1"/>
  <c r="L226" i="75" s="1"/>
  <c r="L227" i="75" s="1"/>
  <c r="L228" i="75" s="1"/>
  <c r="L229" i="75" s="1"/>
  <c r="L230" i="75" s="1"/>
  <c r="L231" i="75" s="1"/>
  <c r="L232" i="75" s="1"/>
  <c r="L233" i="75" s="1"/>
  <c r="L234" i="75" s="1"/>
  <c r="L235" i="75" s="1"/>
  <c r="L236" i="75" s="1"/>
  <c r="L222" i="75"/>
  <c r="K222" i="75"/>
  <c r="K223" i="75" s="1"/>
  <c r="K224" i="75" s="1"/>
  <c r="K225" i="75" s="1"/>
  <c r="K226" i="75" s="1"/>
  <c r="K227" i="75" s="1"/>
  <c r="K228" i="75" s="1"/>
  <c r="K229" i="75" s="1"/>
  <c r="K230" i="75" s="1"/>
  <c r="K231" i="75" s="1"/>
  <c r="K232" i="75" s="1"/>
  <c r="K233" i="75" s="1"/>
  <c r="K234" i="75" s="1"/>
  <c r="K235" i="75" s="1"/>
  <c r="K236" i="75" s="1"/>
  <c r="N205" i="75"/>
  <c r="N206" i="75" s="1"/>
  <c r="N207" i="75" s="1"/>
  <c r="N208" i="75" s="1"/>
  <c r="N209" i="75" s="1"/>
  <c r="N210" i="75" s="1"/>
  <c r="N211" i="75" s="1"/>
  <c r="N212" i="75" s="1"/>
  <c r="N213" i="75" s="1"/>
  <c r="N214" i="75" s="1"/>
  <c r="N215" i="75" s="1"/>
  <c r="N216" i="75" s="1"/>
  <c r="N217" i="75" s="1"/>
  <c r="N218" i="75" s="1"/>
  <c r="N204" i="75"/>
  <c r="K205" i="75"/>
  <c r="K206" i="75" s="1"/>
  <c r="K207" i="75" s="1"/>
  <c r="K208" i="75" s="1"/>
  <c r="K209" i="75" s="1"/>
  <c r="K210" i="75" s="1"/>
  <c r="K211" i="75" s="1"/>
  <c r="K212" i="75" s="1"/>
  <c r="K213" i="75" s="1"/>
  <c r="K214" i="75" s="1"/>
  <c r="K215" i="75" s="1"/>
  <c r="K216" i="75" s="1"/>
  <c r="K217" i="75" s="1"/>
  <c r="K218" i="75" s="1"/>
  <c r="L205" i="75"/>
  <c r="L206" i="75"/>
  <c r="L207" i="75" s="1"/>
  <c r="L208" i="75" s="1"/>
  <c r="L209" i="75" s="1"/>
  <c r="L210" i="75" s="1"/>
  <c r="L211" i="75" s="1"/>
  <c r="L212" i="75" s="1"/>
  <c r="L213" i="75" s="1"/>
  <c r="L214" i="75" s="1"/>
  <c r="L215" i="75" s="1"/>
  <c r="L216" i="75" s="1"/>
  <c r="L217" i="75" s="1"/>
  <c r="L218" i="75" s="1"/>
  <c r="L204" i="75"/>
  <c r="K204" i="75"/>
  <c r="K136" i="75"/>
  <c r="K137" i="75" s="1"/>
  <c r="K135" i="75"/>
  <c r="J80" i="75"/>
  <c r="K81" i="75"/>
  <c r="K82" i="75" s="1"/>
  <c r="K83" i="75" s="1"/>
  <c r="K84" i="75" s="1"/>
  <c r="K85" i="75" s="1"/>
  <c r="K86" i="75" s="1"/>
  <c r="K87" i="75" s="1"/>
  <c r="K88" i="75" s="1"/>
  <c r="K89" i="75" s="1"/>
  <c r="K90" i="75" s="1"/>
  <c r="K91" i="75" s="1"/>
  <c r="K92" i="75" s="1"/>
  <c r="K93" i="75" s="1"/>
  <c r="K94" i="75" s="1"/>
  <c r="L81" i="75"/>
  <c r="L82" i="75" s="1"/>
  <c r="L83" i="75" s="1"/>
  <c r="L84" i="75" s="1"/>
  <c r="L85" i="75" s="1"/>
  <c r="L86" i="75" s="1"/>
  <c r="L87" i="75" s="1"/>
  <c r="L88" i="75" s="1"/>
  <c r="L89" i="75" s="1"/>
  <c r="L90" i="75" s="1"/>
  <c r="L91" i="75" s="1"/>
  <c r="L92" i="75" s="1"/>
  <c r="L93" i="75" s="1"/>
  <c r="L94" i="75" s="1"/>
  <c r="N81" i="75"/>
  <c r="N82" i="75" s="1"/>
  <c r="N83" i="75" s="1"/>
  <c r="N84" i="75" s="1"/>
  <c r="N85" i="75" s="1"/>
  <c r="N86" i="75" s="1"/>
  <c r="N87" i="75" s="1"/>
  <c r="N88" i="75" s="1"/>
  <c r="N89" i="75" s="1"/>
  <c r="N90" i="75" s="1"/>
  <c r="N91" i="75" s="1"/>
  <c r="N92" i="75" s="1"/>
  <c r="N93" i="75" s="1"/>
  <c r="N94" i="75" s="1"/>
  <c r="N80" i="75"/>
  <c r="L80" i="75"/>
  <c r="K80" i="75"/>
  <c r="N43" i="75"/>
  <c r="N44" i="75" s="1"/>
  <c r="N45" i="75" s="1"/>
  <c r="N46" i="75" s="1"/>
  <c r="N47" i="75" s="1"/>
  <c r="N48" i="75" s="1"/>
  <c r="N49" i="75" s="1"/>
  <c r="N50" i="75" s="1"/>
  <c r="N51" i="75" s="1"/>
  <c r="N52" i="75" s="1"/>
  <c r="N53" i="75" s="1"/>
  <c r="N54" i="75" s="1"/>
  <c r="N55" i="75" s="1"/>
  <c r="N56" i="75" s="1"/>
  <c r="N42" i="75"/>
  <c r="K43" i="75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L43" i="75"/>
  <c r="L44" i="75"/>
  <c r="L45" i="75" s="1"/>
  <c r="L46" i="75" s="1"/>
  <c r="L47" i="75" s="1"/>
  <c r="L48" i="75" s="1"/>
  <c r="L49" i="75" s="1"/>
  <c r="L50" i="75" s="1"/>
  <c r="L51" i="75" s="1"/>
  <c r="L52" i="75" s="1"/>
  <c r="L53" i="75" s="1"/>
  <c r="L54" i="75" s="1"/>
  <c r="L55" i="75" s="1"/>
  <c r="L56" i="75" s="1"/>
  <c r="L42" i="75"/>
  <c r="K42" i="75"/>
  <c r="N58" i="2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57" i="2"/>
  <c r="L58" i="2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57" i="2"/>
  <c r="K58" i="2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57" i="2"/>
  <c r="K25" i="75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24" i="75"/>
  <c r="K7" i="75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6" i="75"/>
  <c r="L304" i="75"/>
  <c r="L305" i="75"/>
  <c r="L306" i="75"/>
  <c r="L307" i="75" s="1"/>
  <c r="D258" i="75"/>
  <c r="D259" i="75"/>
  <c r="D260" i="75"/>
  <c r="D261" i="75"/>
  <c r="D262" i="75"/>
  <c r="D263" i="75"/>
  <c r="D264" i="75"/>
  <c r="D257" i="75"/>
  <c r="D240" i="75"/>
  <c r="D241" i="75"/>
  <c r="D242" i="75"/>
  <c r="D243" i="75"/>
  <c r="D244" i="75"/>
  <c r="D245" i="75"/>
  <c r="D246" i="75"/>
  <c r="D247" i="75"/>
  <c r="D248" i="75"/>
  <c r="D249" i="75"/>
  <c r="D250" i="75"/>
  <c r="D251" i="75"/>
  <c r="D252" i="75"/>
  <c r="D253" i="75"/>
  <c r="D254" i="75"/>
  <c r="D239" i="75"/>
  <c r="D222" i="75"/>
  <c r="D223" i="75"/>
  <c r="D224" i="75"/>
  <c r="D225" i="75"/>
  <c r="D226" i="75"/>
  <c r="D227" i="75"/>
  <c r="D228" i="75"/>
  <c r="D229" i="75"/>
  <c r="D230" i="75"/>
  <c r="D231" i="75"/>
  <c r="D232" i="75"/>
  <c r="D233" i="75"/>
  <c r="D234" i="75"/>
  <c r="D235" i="75"/>
  <c r="D236" i="75"/>
  <c r="D221" i="75"/>
  <c r="D204" i="75"/>
  <c r="D205" i="75"/>
  <c r="D206" i="75"/>
  <c r="D207" i="75"/>
  <c r="D208" i="75"/>
  <c r="D209" i="75"/>
  <c r="D210" i="75"/>
  <c r="D211" i="75"/>
  <c r="D212" i="75"/>
  <c r="D213" i="75"/>
  <c r="D214" i="75"/>
  <c r="D215" i="75"/>
  <c r="D216" i="75"/>
  <c r="D217" i="75"/>
  <c r="D218" i="75"/>
  <c r="D203" i="75"/>
  <c r="D193" i="2"/>
  <c r="P194" i="2"/>
  <c r="P195" i="2" s="1"/>
  <c r="D153" i="75"/>
  <c r="S154" i="75"/>
  <c r="D154" i="75" s="1"/>
  <c r="M61" i="2" l="1"/>
  <c r="M27" i="2"/>
  <c r="M83" i="75"/>
  <c r="M117" i="75"/>
  <c r="M101" i="75"/>
  <c r="D194" i="2"/>
  <c r="P196" i="2"/>
  <c r="D195" i="2"/>
  <c r="S155" i="75"/>
  <c r="S156" i="75" s="1"/>
  <c r="S157" i="75" s="1"/>
  <c r="S158" i="75" s="1"/>
  <c r="S159" i="75" s="1"/>
  <c r="S160" i="75" s="1"/>
  <c r="S161" i="75" s="1"/>
  <c r="S162" i="75" s="1"/>
  <c r="S163" i="75" s="1"/>
  <c r="S164" i="75" s="1"/>
  <c r="S165" i="75" s="1"/>
  <c r="S166" i="75" s="1"/>
  <c r="S167" i="75" s="1"/>
  <c r="S168" i="75" s="1"/>
  <c r="S169" i="75" s="1"/>
  <c r="S170" i="75" s="1"/>
  <c r="S171" i="75" s="1"/>
  <c r="S172" i="75" s="1"/>
  <c r="S173" i="75" s="1"/>
  <c r="S174" i="75" s="1"/>
  <c r="S175" i="75" s="1"/>
  <c r="S176" i="75" s="1"/>
  <c r="M62" i="2" l="1"/>
  <c r="M28" i="2"/>
  <c r="M29" i="2" s="1"/>
  <c r="M84" i="75"/>
  <c r="M118" i="75"/>
  <c r="M119" i="75" s="1"/>
  <c r="M102" i="75"/>
  <c r="M103" i="75" s="1"/>
  <c r="D176" i="75"/>
  <c r="S177" i="75"/>
  <c r="D164" i="75"/>
  <c r="D166" i="75"/>
  <c r="D157" i="75"/>
  <c r="D168" i="75"/>
  <c r="D174" i="75"/>
  <c r="D156" i="75"/>
  <c r="D158" i="75"/>
  <c r="D155" i="75"/>
  <c r="D173" i="75"/>
  <c r="D161" i="75"/>
  <c r="D160" i="75"/>
  <c r="D162" i="75"/>
  <c r="D163" i="75"/>
  <c r="D159" i="75"/>
  <c r="P197" i="2"/>
  <c r="D196" i="2"/>
  <c r="D165" i="75"/>
  <c r="D167" i="75"/>
  <c r="D172" i="75"/>
  <c r="D170" i="75"/>
  <c r="D171" i="75"/>
  <c r="D169" i="75"/>
  <c r="D175" i="75"/>
  <c r="M63" i="2" l="1"/>
  <c r="M30" i="2"/>
  <c r="M85" i="75"/>
  <c r="M120" i="75"/>
  <c r="M104" i="75"/>
  <c r="M105" i="75" s="1"/>
  <c r="S178" i="75"/>
  <c r="D177" i="75"/>
  <c r="P198" i="2"/>
  <c r="D197" i="2"/>
  <c r="M64" i="2" l="1"/>
  <c r="M31" i="2"/>
  <c r="M86" i="75"/>
  <c r="M87" i="75" s="1"/>
  <c r="M121" i="75"/>
  <c r="M122" i="75" s="1"/>
  <c r="M106" i="75"/>
  <c r="M107" i="75" s="1"/>
  <c r="S179" i="75"/>
  <c r="D178" i="75"/>
  <c r="P199" i="2"/>
  <c r="D198" i="2"/>
  <c r="M65" i="2" l="1"/>
  <c r="M32" i="2"/>
  <c r="M33" i="2" s="1"/>
  <c r="M88" i="75"/>
  <c r="M123" i="75"/>
  <c r="M124" i="75" s="1"/>
  <c r="M125" i="75" s="1"/>
  <c r="M126" i="75" s="1"/>
  <c r="M127" i="75" s="1"/>
  <c r="M128" i="75" s="1"/>
  <c r="M108" i="75"/>
  <c r="M109" i="75" s="1"/>
  <c r="M110" i="75" s="1"/>
  <c r="M111" i="75" s="1"/>
  <c r="M112" i="75" s="1"/>
  <c r="M113" i="75" s="1"/>
  <c r="M114" i="75" s="1"/>
  <c r="S180" i="75"/>
  <c r="D179" i="75"/>
  <c r="P200" i="2"/>
  <c r="D199" i="2"/>
  <c r="M66" i="2" l="1"/>
  <c r="M67" i="2" s="1"/>
  <c r="M68" i="2" s="1"/>
  <c r="M69" i="2" s="1"/>
  <c r="M70" i="2" s="1"/>
  <c r="M71" i="2" s="1"/>
  <c r="M34" i="2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89" i="75"/>
  <c r="M90" i="75" s="1"/>
  <c r="M91" i="75" s="1"/>
  <c r="M92" i="75" s="1"/>
  <c r="M93" i="75" s="1"/>
  <c r="M94" i="75" s="1"/>
  <c r="S181" i="75"/>
  <c r="D180" i="75"/>
  <c r="P201" i="2"/>
  <c r="D200" i="2"/>
  <c r="S182" i="75" l="1"/>
  <c r="D181" i="75"/>
  <c r="P202" i="2"/>
  <c r="D201" i="2"/>
  <c r="S183" i="75" l="1"/>
  <c r="D182" i="75"/>
  <c r="P203" i="2"/>
  <c r="D202" i="2"/>
  <c r="S184" i="75" l="1"/>
  <c r="D183" i="75"/>
  <c r="P204" i="2"/>
  <c r="D203" i="2"/>
  <c r="S185" i="75" l="1"/>
  <c r="D184" i="75"/>
  <c r="P205" i="2"/>
  <c r="D204" i="2"/>
  <c r="S186" i="75" l="1"/>
  <c r="D185" i="75"/>
  <c r="D205" i="2"/>
  <c r="P206" i="2"/>
  <c r="S187" i="75" l="1"/>
  <c r="D186" i="75"/>
  <c r="P207" i="2"/>
  <c r="D206" i="2"/>
  <c r="S188" i="75" l="1"/>
  <c r="D187" i="75"/>
  <c r="P208" i="2"/>
  <c r="D207" i="2"/>
  <c r="S189" i="75" l="1"/>
  <c r="D188" i="75"/>
  <c r="P209" i="2"/>
  <c r="D208" i="2"/>
  <c r="S190" i="75" l="1"/>
  <c r="D189" i="75"/>
  <c r="P210" i="2"/>
  <c r="D209" i="2"/>
  <c r="S191" i="75" l="1"/>
  <c r="D190" i="75"/>
  <c r="P211" i="2"/>
  <c r="D210" i="2"/>
  <c r="S192" i="75" l="1"/>
  <c r="D191" i="75"/>
  <c r="P212" i="2"/>
  <c r="D211" i="2"/>
  <c r="S193" i="75" l="1"/>
  <c r="D192" i="75"/>
  <c r="P213" i="2"/>
  <c r="D212" i="2"/>
  <c r="S194" i="75" l="1"/>
  <c r="D193" i="75"/>
  <c r="P214" i="2"/>
  <c r="D213" i="2"/>
  <c r="S195" i="75" l="1"/>
  <c r="D194" i="75"/>
  <c r="P215" i="2"/>
  <c r="D214" i="2"/>
  <c r="S196" i="75" l="1"/>
  <c r="D195" i="75"/>
  <c r="P216" i="2"/>
  <c r="D215" i="2"/>
  <c r="S197" i="75" l="1"/>
  <c r="D196" i="75"/>
  <c r="D216" i="2"/>
  <c r="S198" i="75" l="1"/>
  <c r="D197" i="75"/>
  <c r="S199" i="75" l="1"/>
  <c r="D198" i="75"/>
  <c r="S200" i="75" l="1"/>
  <c r="D200" i="75" s="1"/>
  <c r="D199" i="75"/>
  <c r="D94" i="75" l="1"/>
  <c r="D93" i="75"/>
  <c r="D82" i="75"/>
  <c r="D83" i="75"/>
  <c r="J83" i="75" s="1"/>
  <c r="D84" i="75"/>
  <c r="J84" i="75" s="1"/>
  <c r="D85" i="75"/>
  <c r="J85" i="75" s="1"/>
  <c r="D86" i="75"/>
  <c r="D87" i="75"/>
  <c r="J87" i="75" s="1"/>
  <c r="D88" i="75"/>
  <c r="J88" i="75" s="1"/>
  <c r="D89" i="75"/>
  <c r="J89" i="75" s="1"/>
  <c r="D90" i="75"/>
  <c r="J90" i="75" s="1"/>
  <c r="D91" i="75"/>
  <c r="J91" i="75" s="1"/>
  <c r="D92" i="75"/>
  <c r="J92" i="75" s="1"/>
  <c r="J93" i="75"/>
  <c r="D81" i="75"/>
  <c r="J81" i="75" s="1"/>
  <c r="D79" i="75"/>
  <c r="D42" i="75"/>
  <c r="J42" i="75" s="1"/>
  <c r="D43" i="75"/>
  <c r="J43" i="75" s="1"/>
  <c r="D44" i="75"/>
  <c r="D45" i="75"/>
  <c r="J45" i="75" s="1"/>
  <c r="D46" i="75"/>
  <c r="J46" i="75" s="1"/>
  <c r="D47" i="75"/>
  <c r="J47" i="75" s="1"/>
  <c r="D48" i="75"/>
  <c r="D49" i="75"/>
  <c r="J49" i="75" s="1"/>
  <c r="D50" i="75"/>
  <c r="J50" i="75" s="1"/>
  <c r="D51" i="75"/>
  <c r="J51" i="75" s="1"/>
  <c r="D52" i="75"/>
  <c r="D53" i="75"/>
  <c r="J53" i="75" s="1"/>
  <c r="D54" i="75"/>
  <c r="J54" i="75" s="1"/>
  <c r="D55" i="75"/>
  <c r="J55" i="75" s="1"/>
  <c r="D56" i="75"/>
  <c r="D41" i="75"/>
  <c r="J41" i="75" s="1"/>
  <c r="D24" i="75"/>
  <c r="J24" i="75" s="1"/>
  <c r="D25" i="75"/>
  <c r="J25" i="75" s="1"/>
  <c r="D26" i="75"/>
  <c r="D27" i="75"/>
  <c r="J27" i="75" s="1"/>
  <c r="D28" i="75"/>
  <c r="J28" i="75" s="1"/>
  <c r="D29" i="75"/>
  <c r="J29" i="75" s="1"/>
  <c r="D30" i="75"/>
  <c r="D31" i="75"/>
  <c r="J31" i="75" s="1"/>
  <c r="D32" i="75"/>
  <c r="J32" i="75" s="1"/>
  <c r="D33" i="75"/>
  <c r="J33" i="75" s="1"/>
  <c r="D34" i="75"/>
  <c r="D35" i="75"/>
  <c r="J35" i="75" s="1"/>
  <c r="D36" i="75"/>
  <c r="J36" i="75" s="1"/>
  <c r="D37" i="75"/>
  <c r="J37" i="75" s="1"/>
  <c r="D38" i="75"/>
  <c r="D23" i="75"/>
  <c r="J23" i="75" s="1"/>
  <c r="D6" i="75"/>
  <c r="J6" i="75" s="1"/>
  <c r="D7" i="75"/>
  <c r="J7" i="75" s="1"/>
  <c r="D8" i="75"/>
  <c r="D9" i="75"/>
  <c r="J9" i="75" s="1"/>
  <c r="D10" i="75"/>
  <c r="J10" i="75" s="1"/>
  <c r="D11" i="75"/>
  <c r="J11" i="75" s="1"/>
  <c r="D12" i="75"/>
  <c r="D13" i="75"/>
  <c r="J13" i="75" s="1"/>
  <c r="D14" i="75"/>
  <c r="J14" i="75" s="1"/>
  <c r="D15" i="75"/>
  <c r="J15" i="75" s="1"/>
  <c r="D16" i="75"/>
  <c r="D17" i="75"/>
  <c r="J17" i="75" s="1"/>
  <c r="D18" i="75"/>
  <c r="J18" i="75" s="1"/>
  <c r="D19" i="75"/>
  <c r="J19" i="75" s="1"/>
  <c r="D20" i="75"/>
  <c r="D5" i="75"/>
  <c r="J5" i="75" s="1"/>
  <c r="S338" i="75"/>
  <c r="T338" i="75" s="1"/>
  <c r="S337" i="75"/>
  <c r="T337" i="75" s="1"/>
  <c r="S336" i="75"/>
  <c r="T336" i="75" s="1"/>
  <c r="S335" i="75"/>
  <c r="T335" i="75" s="1"/>
  <c r="S334" i="75"/>
  <c r="T334" i="75" s="1"/>
  <c r="S333" i="75"/>
  <c r="T333" i="75" s="1"/>
  <c r="S332" i="75"/>
  <c r="T332" i="75" s="1"/>
  <c r="S331" i="75"/>
  <c r="T331" i="75" s="1"/>
  <c r="S330" i="75"/>
  <c r="T330" i="75" s="1"/>
  <c r="S329" i="75"/>
  <c r="T329" i="75" s="1"/>
  <c r="S328" i="75"/>
  <c r="T328" i="75" s="1"/>
  <c r="S327" i="75"/>
  <c r="T327" i="75" s="1"/>
  <c r="S326" i="75"/>
  <c r="T326" i="75" s="1"/>
  <c r="S325" i="75"/>
  <c r="T325" i="75" s="1"/>
  <c r="S324" i="75"/>
  <c r="T324" i="75" s="1"/>
  <c r="S323" i="75"/>
  <c r="T323" i="75" s="1"/>
  <c r="S322" i="75"/>
  <c r="T322" i="75" s="1"/>
  <c r="S321" i="75"/>
  <c r="T321" i="75" s="1"/>
  <c r="S320" i="75"/>
  <c r="T320" i="75" s="1"/>
  <c r="S319" i="75"/>
  <c r="T319" i="75" s="1"/>
  <c r="S318" i="75"/>
  <c r="T318" i="75" s="1"/>
  <c r="S317" i="75"/>
  <c r="T317" i="75" s="1"/>
  <c r="S316" i="75"/>
  <c r="T316" i="75" s="1"/>
  <c r="S315" i="75"/>
  <c r="T315" i="75" s="1"/>
  <c r="S314" i="75"/>
  <c r="T314" i="75" s="1"/>
  <c r="S313" i="75"/>
  <c r="T313" i="75" s="1"/>
  <c r="S312" i="75"/>
  <c r="T312" i="75" s="1"/>
  <c r="S311" i="75"/>
  <c r="T311" i="75" s="1"/>
  <c r="N311" i="75"/>
  <c r="N312" i="75" s="1"/>
  <c r="N313" i="75" s="1"/>
  <c r="N314" i="75" s="1"/>
  <c r="N315" i="75" s="1"/>
  <c r="N316" i="75" s="1"/>
  <c r="N317" i="75" s="1"/>
  <c r="N318" i="75" s="1"/>
  <c r="N319" i="75" s="1"/>
  <c r="N320" i="75" s="1"/>
  <c r="N321" i="75" s="1"/>
  <c r="N322" i="75" s="1"/>
  <c r="N323" i="75" s="1"/>
  <c r="N324" i="75" s="1"/>
  <c r="N325" i="75" s="1"/>
  <c r="N326" i="75" s="1"/>
  <c r="N327" i="75" s="1"/>
  <c r="N328" i="75" s="1"/>
  <c r="N329" i="75" s="1"/>
  <c r="N330" i="75" s="1"/>
  <c r="N331" i="75" s="1"/>
  <c r="N332" i="75" s="1"/>
  <c r="N333" i="75" s="1"/>
  <c r="N334" i="75" s="1"/>
  <c r="N335" i="75" s="1"/>
  <c r="N336" i="75" s="1"/>
  <c r="N337" i="75" s="1"/>
  <c r="N338" i="75" s="1"/>
  <c r="L311" i="75"/>
  <c r="L312" i="75" s="1"/>
  <c r="L313" i="75" s="1"/>
  <c r="L314" i="75" s="1"/>
  <c r="L315" i="75" s="1"/>
  <c r="L316" i="75" s="1"/>
  <c r="L317" i="75" s="1"/>
  <c r="L318" i="75" s="1"/>
  <c r="L319" i="75" s="1"/>
  <c r="L320" i="75" s="1"/>
  <c r="L321" i="75" s="1"/>
  <c r="L322" i="75" s="1"/>
  <c r="L323" i="75" s="1"/>
  <c r="L324" i="75" s="1"/>
  <c r="L325" i="75" s="1"/>
  <c r="L326" i="75" s="1"/>
  <c r="L327" i="75" s="1"/>
  <c r="L328" i="75" s="1"/>
  <c r="L329" i="75" s="1"/>
  <c r="L330" i="75" s="1"/>
  <c r="L331" i="75" s="1"/>
  <c r="L332" i="75" s="1"/>
  <c r="L333" i="75" s="1"/>
  <c r="L334" i="75" s="1"/>
  <c r="L335" i="75" s="1"/>
  <c r="L336" i="75" s="1"/>
  <c r="L337" i="75" s="1"/>
  <c r="L338" i="75" s="1"/>
  <c r="K311" i="75"/>
  <c r="K312" i="75" s="1"/>
  <c r="S310" i="75"/>
  <c r="T310" i="75" s="1"/>
  <c r="J310" i="75"/>
  <c r="S303" i="75"/>
  <c r="T303" i="75" s="1"/>
  <c r="S302" i="75"/>
  <c r="T302" i="75" s="1"/>
  <c r="S301" i="75"/>
  <c r="T301" i="75" s="1"/>
  <c r="S300" i="75"/>
  <c r="T300" i="75" s="1"/>
  <c r="S299" i="75"/>
  <c r="T299" i="75" s="1"/>
  <c r="S298" i="75"/>
  <c r="T298" i="75" s="1"/>
  <c r="S297" i="75"/>
  <c r="T297" i="75" s="1"/>
  <c r="S296" i="75"/>
  <c r="T296" i="75" s="1"/>
  <c r="S295" i="75"/>
  <c r="T295" i="75" s="1"/>
  <c r="S294" i="75"/>
  <c r="T294" i="75" s="1"/>
  <c r="S293" i="75"/>
  <c r="T293" i="75" s="1"/>
  <c r="S292" i="75"/>
  <c r="T292" i="75" s="1"/>
  <c r="S291" i="75"/>
  <c r="T291" i="75" s="1"/>
  <c r="S290" i="75"/>
  <c r="T290" i="75" s="1"/>
  <c r="S289" i="75"/>
  <c r="T289" i="75" s="1"/>
  <c r="S288" i="75"/>
  <c r="T288" i="75" s="1"/>
  <c r="S287" i="75"/>
  <c r="T287" i="75" s="1"/>
  <c r="S286" i="75"/>
  <c r="T286" i="75" s="1"/>
  <c r="S285" i="75"/>
  <c r="T285" i="75" s="1"/>
  <c r="S284" i="75"/>
  <c r="T284" i="75" s="1"/>
  <c r="S283" i="75"/>
  <c r="T283" i="75" s="1"/>
  <c r="S282" i="75"/>
  <c r="T282" i="75" s="1"/>
  <c r="S281" i="75"/>
  <c r="T281" i="75" s="1"/>
  <c r="S280" i="75"/>
  <c r="T280" i="75" s="1"/>
  <c r="S279" i="75"/>
  <c r="T279" i="75" s="1"/>
  <c r="S278" i="75"/>
  <c r="T278" i="75" s="1"/>
  <c r="S277" i="75"/>
  <c r="T277" i="75" s="1"/>
  <c r="S276" i="75"/>
  <c r="T276" i="75" s="1"/>
  <c r="N276" i="75"/>
  <c r="N277" i="75" s="1"/>
  <c r="N278" i="75" s="1"/>
  <c r="N279" i="75" s="1"/>
  <c r="N280" i="75" s="1"/>
  <c r="N281" i="75" s="1"/>
  <c r="N282" i="75" s="1"/>
  <c r="N283" i="75" s="1"/>
  <c r="N284" i="75" s="1"/>
  <c r="N285" i="75" s="1"/>
  <c r="N286" i="75" s="1"/>
  <c r="N287" i="75" s="1"/>
  <c r="N288" i="75" s="1"/>
  <c r="N289" i="75" s="1"/>
  <c r="N290" i="75" s="1"/>
  <c r="N291" i="75" s="1"/>
  <c r="N292" i="75" s="1"/>
  <c r="N293" i="75" s="1"/>
  <c r="N294" i="75" s="1"/>
  <c r="N295" i="75" s="1"/>
  <c r="N296" i="75" s="1"/>
  <c r="N297" i="75" s="1"/>
  <c r="N298" i="75" s="1"/>
  <c r="N299" i="75" s="1"/>
  <c r="N300" i="75" s="1"/>
  <c r="N301" i="75" s="1"/>
  <c r="N302" i="75" s="1"/>
  <c r="N303" i="75" s="1"/>
  <c r="N304" i="75" s="1"/>
  <c r="N305" i="75" s="1"/>
  <c r="N306" i="75" s="1"/>
  <c r="N307" i="75" s="1"/>
  <c r="L276" i="75"/>
  <c r="L277" i="75" s="1"/>
  <c r="L278" i="75" s="1"/>
  <c r="L279" i="75" s="1"/>
  <c r="L280" i="75" s="1"/>
  <c r="L281" i="75" s="1"/>
  <c r="L282" i="75" s="1"/>
  <c r="L283" i="75" s="1"/>
  <c r="L284" i="75" s="1"/>
  <c r="L285" i="75" s="1"/>
  <c r="L286" i="75" s="1"/>
  <c r="L287" i="75" s="1"/>
  <c r="L288" i="75" s="1"/>
  <c r="L289" i="75" s="1"/>
  <c r="L290" i="75" s="1"/>
  <c r="L291" i="75" s="1"/>
  <c r="L292" i="75" s="1"/>
  <c r="L293" i="75" s="1"/>
  <c r="L294" i="75" s="1"/>
  <c r="L295" i="75" s="1"/>
  <c r="L296" i="75" s="1"/>
  <c r="L297" i="75" s="1"/>
  <c r="L298" i="75" s="1"/>
  <c r="L299" i="75" s="1"/>
  <c r="L300" i="75" s="1"/>
  <c r="L301" i="75" s="1"/>
  <c r="L302" i="75" s="1"/>
  <c r="L303" i="75" s="1"/>
  <c r="K276" i="75"/>
  <c r="K277" i="75" s="1"/>
  <c r="S275" i="75"/>
  <c r="T275" i="75" s="1"/>
  <c r="J275" i="75"/>
  <c r="S272" i="75"/>
  <c r="U272" i="75" s="1"/>
  <c r="S271" i="75"/>
  <c r="U271" i="75" s="1"/>
  <c r="S270" i="75"/>
  <c r="U270" i="75" s="1"/>
  <c r="S269" i="75"/>
  <c r="U269" i="75" s="1"/>
  <c r="S268" i="75"/>
  <c r="T268" i="75" s="1"/>
  <c r="S267" i="75"/>
  <c r="U267" i="75" s="1"/>
  <c r="S266" i="75"/>
  <c r="U266" i="75" s="1"/>
  <c r="S265" i="75"/>
  <c r="U265" i="75" s="1"/>
  <c r="S264" i="75"/>
  <c r="T264" i="75" s="1"/>
  <c r="J264" i="75"/>
  <c r="S263" i="75"/>
  <c r="U263" i="75" s="1"/>
  <c r="J263" i="75"/>
  <c r="S262" i="75"/>
  <c r="U262" i="75" s="1"/>
  <c r="J262" i="75"/>
  <c r="S261" i="75"/>
  <c r="U261" i="75" s="1"/>
  <c r="J261" i="75"/>
  <c r="S260" i="75"/>
  <c r="T260" i="75" s="1"/>
  <c r="J260" i="75"/>
  <c r="S259" i="75"/>
  <c r="T259" i="75" s="1"/>
  <c r="J259" i="75"/>
  <c r="S258" i="75"/>
  <c r="T258" i="75" s="1"/>
  <c r="J258" i="75"/>
  <c r="S257" i="75"/>
  <c r="U257" i="75" s="1"/>
  <c r="J257" i="75"/>
  <c r="S254" i="75"/>
  <c r="U254" i="75" s="1"/>
  <c r="J254" i="75"/>
  <c r="S253" i="75"/>
  <c r="U253" i="75" s="1"/>
  <c r="J253" i="75"/>
  <c r="S252" i="75"/>
  <c r="U252" i="75" s="1"/>
  <c r="J252" i="75"/>
  <c r="S251" i="75"/>
  <c r="U251" i="75" s="1"/>
  <c r="J251" i="75"/>
  <c r="S250" i="75"/>
  <c r="T250" i="75" s="1"/>
  <c r="J250" i="75"/>
  <c r="S249" i="75"/>
  <c r="U249" i="75" s="1"/>
  <c r="J249" i="75"/>
  <c r="S248" i="75"/>
  <c r="U248" i="75" s="1"/>
  <c r="J248" i="75"/>
  <c r="S247" i="75"/>
  <c r="U247" i="75" s="1"/>
  <c r="J247" i="75"/>
  <c r="S246" i="75"/>
  <c r="T246" i="75" s="1"/>
  <c r="J246" i="75"/>
  <c r="S245" i="75"/>
  <c r="T245" i="75" s="1"/>
  <c r="J245" i="75"/>
  <c r="S244" i="75"/>
  <c r="U244" i="75" s="1"/>
  <c r="J244" i="75"/>
  <c r="S243" i="75"/>
  <c r="U243" i="75" s="1"/>
  <c r="J243" i="75"/>
  <c r="S242" i="75"/>
  <c r="T242" i="75" s="1"/>
  <c r="J242" i="75"/>
  <c r="S241" i="75"/>
  <c r="U241" i="75" s="1"/>
  <c r="J241" i="75"/>
  <c r="S240" i="75"/>
  <c r="U240" i="75" s="1"/>
  <c r="J240" i="75"/>
  <c r="S239" i="75"/>
  <c r="U239" i="75" s="1"/>
  <c r="J239" i="75"/>
  <c r="S236" i="75"/>
  <c r="U236" i="75" s="1"/>
  <c r="J236" i="75"/>
  <c r="S235" i="75"/>
  <c r="U235" i="75" s="1"/>
  <c r="J235" i="75"/>
  <c r="S234" i="75"/>
  <c r="U234" i="75" s="1"/>
  <c r="J234" i="75"/>
  <c r="S233" i="75"/>
  <c r="U233" i="75" s="1"/>
  <c r="J233" i="75"/>
  <c r="S232" i="75"/>
  <c r="T232" i="75" s="1"/>
  <c r="J232" i="75"/>
  <c r="S231" i="75"/>
  <c r="U231" i="75" s="1"/>
  <c r="J231" i="75"/>
  <c r="S230" i="75"/>
  <c r="U230" i="75" s="1"/>
  <c r="J230" i="75"/>
  <c r="S229" i="75"/>
  <c r="U229" i="75" s="1"/>
  <c r="J229" i="75"/>
  <c r="S228" i="75"/>
  <c r="T228" i="75" s="1"/>
  <c r="J228" i="75"/>
  <c r="S227" i="75"/>
  <c r="T227" i="75" s="1"/>
  <c r="J227" i="75"/>
  <c r="S226" i="75"/>
  <c r="U226" i="75" s="1"/>
  <c r="J226" i="75"/>
  <c r="S225" i="75"/>
  <c r="U225" i="75" s="1"/>
  <c r="J225" i="75"/>
  <c r="S224" i="75"/>
  <c r="T224" i="75" s="1"/>
  <c r="J224" i="75"/>
  <c r="S223" i="75"/>
  <c r="U223" i="75" s="1"/>
  <c r="J223" i="75"/>
  <c r="S222" i="75"/>
  <c r="U222" i="75" s="1"/>
  <c r="J222" i="75"/>
  <c r="S221" i="75"/>
  <c r="U221" i="75" s="1"/>
  <c r="J221" i="75"/>
  <c r="S218" i="75"/>
  <c r="U218" i="75" s="1"/>
  <c r="J218" i="75"/>
  <c r="S217" i="75"/>
  <c r="U217" i="75" s="1"/>
  <c r="J217" i="75"/>
  <c r="S216" i="75"/>
  <c r="U216" i="75" s="1"/>
  <c r="J216" i="75"/>
  <c r="S215" i="75"/>
  <c r="U215" i="75" s="1"/>
  <c r="J215" i="75"/>
  <c r="S214" i="75"/>
  <c r="U214" i="75" s="1"/>
  <c r="J214" i="75"/>
  <c r="S213" i="75"/>
  <c r="U213" i="75" s="1"/>
  <c r="J213" i="75"/>
  <c r="S212" i="75"/>
  <c r="U212" i="75" s="1"/>
  <c r="J212" i="75"/>
  <c r="S211" i="75"/>
  <c r="U211" i="75" s="1"/>
  <c r="J211" i="75"/>
  <c r="S210" i="75"/>
  <c r="U210" i="75" s="1"/>
  <c r="J210" i="75"/>
  <c r="S209" i="75"/>
  <c r="U209" i="75" s="1"/>
  <c r="J209" i="75"/>
  <c r="S208" i="75"/>
  <c r="U208" i="75" s="1"/>
  <c r="J208" i="75"/>
  <c r="S207" i="75"/>
  <c r="U207" i="75" s="1"/>
  <c r="J207" i="75"/>
  <c r="S206" i="75"/>
  <c r="U206" i="75" s="1"/>
  <c r="J206" i="75"/>
  <c r="S205" i="75"/>
  <c r="T205" i="75" s="1"/>
  <c r="J205" i="75"/>
  <c r="S204" i="75"/>
  <c r="U204" i="75" s="1"/>
  <c r="J204" i="75"/>
  <c r="S203" i="75"/>
  <c r="U203" i="75" s="1"/>
  <c r="J203" i="75"/>
  <c r="S152" i="75"/>
  <c r="T152" i="75" s="1"/>
  <c r="S151" i="75"/>
  <c r="T151" i="75" s="1"/>
  <c r="S150" i="75"/>
  <c r="T150" i="75" s="1"/>
  <c r="S149" i="75"/>
  <c r="T149" i="75" s="1"/>
  <c r="S148" i="75"/>
  <c r="T148" i="75" s="1"/>
  <c r="S147" i="75"/>
  <c r="T147" i="75" s="1"/>
  <c r="S146" i="75"/>
  <c r="T146" i="75" s="1"/>
  <c r="N146" i="75"/>
  <c r="N147" i="75" s="1"/>
  <c r="N148" i="75" s="1"/>
  <c r="N149" i="75" s="1"/>
  <c r="N150" i="75" s="1"/>
  <c r="N151" i="75" s="1"/>
  <c r="N152" i="75" s="1"/>
  <c r="N153" i="75" s="1"/>
  <c r="N154" i="75" s="1"/>
  <c r="N155" i="75" s="1"/>
  <c r="N156" i="75" s="1"/>
  <c r="N157" i="75" s="1"/>
  <c r="N158" i="75" s="1"/>
  <c r="N159" i="75" s="1"/>
  <c r="N160" i="75" s="1"/>
  <c r="N161" i="75" s="1"/>
  <c r="N162" i="75" s="1"/>
  <c r="N163" i="75" s="1"/>
  <c r="N164" i="75" s="1"/>
  <c r="N165" i="75" s="1"/>
  <c r="N166" i="75" s="1"/>
  <c r="N167" i="75" s="1"/>
  <c r="N168" i="75" s="1"/>
  <c r="N169" i="75" s="1"/>
  <c r="N170" i="75" s="1"/>
  <c r="N171" i="75" s="1"/>
  <c r="N172" i="75" s="1"/>
  <c r="N173" i="75" s="1"/>
  <c r="N174" i="75" s="1"/>
  <c r="N175" i="75" s="1"/>
  <c r="N176" i="75" s="1"/>
  <c r="N177" i="75" s="1"/>
  <c r="N178" i="75" s="1"/>
  <c r="N179" i="75" s="1"/>
  <c r="N180" i="75" s="1"/>
  <c r="N181" i="75" s="1"/>
  <c r="N182" i="75" s="1"/>
  <c r="N183" i="75" s="1"/>
  <c r="N184" i="75" s="1"/>
  <c r="N185" i="75" s="1"/>
  <c r="N186" i="75" s="1"/>
  <c r="N187" i="75" s="1"/>
  <c r="N188" i="75" s="1"/>
  <c r="N189" i="75" s="1"/>
  <c r="N190" i="75" s="1"/>
  <c r="N191" i="75" s="1"/>
  <c r="N192" i="75" s="1"/>
  <c r="N193" i="75" s="1"/>
  <c r="N194" i="75" s="1"/>
  <c r="N195" i="75" s="1"/>
  <c r="N196" i="75" s="1"/>
  <c r="N197" i="75" s="1"/>
  <c r="N198" i="75" s="1"/>
  <c r="N199" i="75" s="1"/>
  <c r="N200" i="75" s="1"/>
  <c r="L146" i="75"/>
  <c r="L147" i="75" s="1"/>
  <c r="L148" i="75" s="1"/>
  <c r="L149" i="75" s="1"/>
  <c r="L150" i="75" s="1"/>
  <c r="L151" i="75" s="1"/>
  <c r="L152" i="75" s="1"/>
  <c r="L153" i="75" s="1"/>
  <c r="L154" i="75" s="1"/>
  <c r="L155" i="75" s="1"/>
  <c r="L156" i="75" s="1"/>
  <c r="L157" i="75" s="1"/>
  <c r="L158" i="75" s="1"/>
  <c r="L159" i="75" s="1"/>
  <c r="L160" i="75" s="1"/>
  <c r="L161" i="75" s="1"/>
  <c r="L162" i="75" s="1"/>
  <c r="L163" i="75" s="1"/>
  <c r="L164" i="75" s="1"/>
  <c r="L165" i="75" s="1"/>
  <c r="L166" i="75" s="1"/>
  <c r="L167" i="75" s="1"/>
  <c r="L168" i="75" s="1"/>
  <c r="L169" i="75" s="1"/>
  <c r="L170" i="75" s="1"/>
  <c r="L171" i="75" s="1"/>
  <c r="L172" i="75" s="1"/>
  <c r="L173" i="75" s="1"/>
  <c r="L174" i="75" s="1"/>
  <c r="L175" i="75" s="1"/>
  <c r="L176" i="75" s="1"/>
  <c r="L177" i="75" s="1"/>
  <c r="L178" i="75" s="1"/>
  <c r="L179" i="75" s="1"/>
  <c r="L180" i="75" s="1"/>
  <c r="L181" i="75" s="1"/>
  <c r="L182" i="75" s="1"/>
  <c r="L183" i="75" s="1"/>
  <c r="L184" i="75" s="1"/>
  <c r="L185" i="75" s="1"/>
  <c r="L186" i="75" s="1"/>
  <c r="L187" i="75" s="1"/>
  <c r="L188" i="75" s="1"/>
  <c r="L189" i="75" s="1"/>
  <c r="L190" i="75" s="1"/>
  <c r="L191" i="75" s="1"/>
  <c r="L192" i="75" s="1"/>
  <c r="L193" i="75" s="1"/>
  <c r="L194" i="75" s="1"/>
  <c r="L195" i="75" s="1"/>
  <c r="L196" i="75" s="1"/>
  <c r="L197" i="75" s="1"/>
  <c r="L198" i="75" s="1"/>
  <c r="L199" i="75" s="1"/>
  <c r="L200" i="75" s="1"/>
  <c r="S145" i="75"/>
  <c r="T145" i="75" s="1"/>
  <c r="N141" i="75"/>
  <c r="L141" i="75"/>
  <c r="L142" i="75" s="1"/>
  <c r="L143" i="75" s="1"/>
  <c r="L144" i="75" s="1"/>
  <c r="K141" i="75"/>
  <c r="K142" i="75" s="1"/>
  <c r="J140" i="75"/>
  <c r="J137" i="75"/>
  <c r="J136" i="75"/>
  <c r="J135" i="75"/>
  <c r="J134" i="75"/>
  <c r="J131" i="75"/>
  <c r="N98" i="75"/>
  <c r="N99" i="75" s="1"/>
  <c r="N100" i="75" s="1"/>
  <c r="N101" i="75" s="1"/>
  <c r="N102" i="75" s="1"/>
  <c r="N103" i="75" s="1"/>
  <c r="N104" i="75" s="1"/>
  <c r="N105" i="75" s="1"/>
  <c r="N106" i="75" s="1"/>
  <c r="N107" i="75" s="1"/>
  <c r="N108" i="75" s="1"/>
  <c r="N109" i="75" s="1"/>
  <c r="N110" i="75" s="1"/>
  <c r="N111" i="75" s="1"/>
  <c r="N112" i="75" s="1"/>
  <c r="N113" i="75" s="1"/>
  <c r="N114" i="75" s="1"/>
  <c r="N115" i="75" s="1"/>
  <c r="N116" i="75" s="1"/>
  <c r="N117" i="75" s="1"/>
  <c r="N118" i="75" s="1"/>
  <c r="N119" i="75" s="1"/>
  <c r="N120" i="75" s="1"/>
  <c r="N121" i="75" s="1"/>
  <c r="N122" i="75" s="1"/>
  <c r="N123" i="75" s="1"/>
  <c r="N124" i="75" s="1"/>
  <c r="N125" i="75" s="1"/>
  <c r="N126" i="75" s="1"/>
  <c r="N127" i="75" s="1"/>
  <c r="N128" i="75" s="1"/>
  <c r="L98" i="75"/>
  <c r="L99" i="75" s="1"/>
  <c r="L100" i="75" s="1"/>
  <c r="L101" i="75" s="1"/>
  <c r="L102" i="75" s="1"/>
  <c r="L103" i="75" s="1"/>
  <c r="L104" i="75" s="1"/>
  <c r="L105" i="75" s="1"/>
  <c r="L106" i="75" s="1"/>
  <c r="L107" i="75" s="1"/>
  <c r="L108" i="75" s="1"/>
  <c r="L109" i="75" s="1"/>
  <c r="L110" i="75" s="1"/>
  <c r="L111" i="75" s="1"/>
  <c r="L112" i="75" s="1"/>
  <c r="L113" i="75" s="1"/>
  <c r="L114" i="75" s="1"/>
  <c r="L115" i="75" s="1"/>
  <c r="L116" i="75" s="1"/>
  <c r="L117" i="75" s="1"/>
  <c r="L118" i="75" s="1"/>
  <c r="L119" i="75" s="1"/>
  <c r="L120" i="75" s="1"/>
  <c r="L121" i="75" s="1"/>
  <c r="L122" i="75" s="1"/>
  <c r="L123" i="75" s="1"/>
  <c r="L124" i="75" s="1"/>
  <c r="L125" i="75" s="1"/>
  <c r="L126" i="75" s="1"/>
  <c r="L127" i="75" s="1"/>
  <c r="L128" i="75" s="1"/>
  <c r="K98" i="75"/>
  <c r="K99" i="75" s="1"/>
  <c r="I98" i="75"/>
  <c r="I99" i="75" s="1"/>
  <c r="I100" i="75" s="1"/>
  <c r="I101" i="75" s="1"/>
  <c r="I102" i="75" s="1"/>
  <c r="I103" i="75" s="1"/>
  <c r="I104" i="75" s="1"/>
  <c r="I105" i="75" s="1"/>
  <c r="I106" i="75" s="1"/>
  <c r="I107" i="75" s="1"/>
  <c r="I108" i="75" s="1"/>
  <c r="I109" i="75" s="1"/>
  <c r="I110" i="75" s="1"/>
  <c r="I111" i="75" s="1"/>
  <c r="I112" i="75" s="1"/>
  <c r="I113" i="75" s="1"/>
  <c r="I114" i="75" s="1"/>
  <c r="C98" i="75"/>
  <c r="C99" i="75" s="1"/>
  <c r="C100" i="75" s="1"/>
  <c r="C101" i="75" s="1"/>
  <c r="C102" i="75" s="1"/>
  <c r="C103" i="75" s="1"/>
  <c r="C104" i="75" s="1"/>
  <c r="C105" i="75" s="1"/>
  <c r="C106" i="75" s="1"/>
  <c r="C107" i="75" s="1"/>
  <c r="C108" i="75" s="1"/>
  <c r="C109" i="75" s="1"/>
  <c r="C110" i="75" s="1"/>
  <c r="C111" i="75" s="1"/>
  <c r="C112" i="75" s="1"/>
  <c r="C113" i="75" s="1"/>
  <c r="C114" i="75" s="1"/>
  <c r="C115" i="75" s="1"/>
  <c r="C116" i="75" s="1"/>
  <c r="C117" i="75" s="1"/>
  <c r="C118" i="75" s="1"/>
  <c r="C119" i="75" s="1"/>
  <c r="C120" i="75" s="1"/>
  <c r="C121" i="75" s="1"/>
  <c r="C122" i="75" s="1"/>
  <c r="C123" i="75" s="1"/>
  <c r="C124" i="75" s="1"/>
  <c r="C125" i="75" s="1"/>
  <c r="C126" i="75" s="1"/>
  <c r="C127" i="75" s="1"/>
  <c r="C128" i="75" s="1"/>
  <c r="J97" i="75"/>
  <c r="S94" i="75"/>
  <c r="U94" i="75" s="1"/>
  <c r="J94" i="75"/>
  <c r="S93" i="75"/>
  <c r="U93" i="75" s="1"/>
  <c r="S92" i="75"/>
  <c r="U92" i="75" s="1"/>
  <c r="S91" i="75"/>
  <c r="U91" i="75" s="1"/>
  <c r="S90" i="75"/>
  <c r="T90" i="75" s="1"/>
  <c r="S89" i="75"/>
  <c r="U89" i="75" s="1"/>
  <c r="S88" i="75"/>
  <c r="U88" i="75" s="1"/>
  <c r="S87" i="75"/>
  <c r="U87" i="75" s="1"/>
  <c r="S86" i="75"/>
  <c r="T86" i="75" s="1"/>
  <c r="J86" i="75"/>
  <c r="S85" i="75"/>
  <c r="U85" i="75" s="1"/>
  <c r="S84" i="75"/>
  <c r="U84" i="75" s="1"/>
  <c r="S83" i="75"/>
  <c r="U83" i="75" s="1"/>
  <c r="S82" i="75"/>
  <c r="T82" i="75" s="1"/>
  <c r="J82" i="75"/>
  <c r="S81" i="75"/>
  <c r="U81" i="75" s="1"/>
  <c r="S80" i="75"/>
  <c r="U80" i="75" s="1"/>
  <c r="S79" i="75"/>
  <c r="U79" i="75" s="1"/>
  <c r="J79" i="75"/>
  <c r="S71" i="75"/>
  <c r="T71" i="75" s="1"/>
  <c r="S70" i="75"/>
  <c r="T70" i="75" s="1"/>
  <c r="N70" i="75"/>
  <c r="N71" i="75" s="1"/>
  <c r="N72" i="75" s="1"/>
  <c r="N73" i="75" s="1"/>
  <c r="N74" i="75" s="1"/>
  <c r="N75" i="75" s="1"/>
  <c r="N76" i="75" s="1"/>
  <c r="L70" i="75"/>
  <c r="K70" i="75"/>
  <c r="K71" i="75" s="1"/>
  <c r="S69" i="75"/>
  <c r="T69" i="75" s="1"/>
  <c r="J69" i="75"/>
  <c r="S61" i="75"/>
  <c r="T61" i="75" s="1"/>
  <c r="S60" i="75"/>
  <c r="T60" i="75" s="1"/>
  <c r="N60" i="75"/>
  <c r="N61" i="75" s="1"/>
  <c r="L60" i="75"/>
  <c r="K60" i="75"/>
  <c r="K61" i="75" s="1"/>
  <c r="S59" i="75"/>
  <c r="T59" i="75" s="1"/>
  <c r="J59" i="75"/>
  <c r="S56" i="75"/>
  <c r="U56" i="75" s="1"/>
  <c r="J56" i="75"/>
  <c r="S55" i="75"/>
  <c r="U55" i="75" s="1"/>
  <c r="S54" i="75"/>
  <c r="U54" i="75" s="1"/>
  <c r="S53" i="75"/>
  <c r="U53" i="75" s="1"/>
  <c r="S52" i="75"/>
  <c r="T52" i="75" s="1"/>
  <c r="J52" i="75"/>
  <c r="S51" i="75"/>
  <c r="U51" i="75" s="1"/>
  <c r="S50" i="75"/>
  <c r="U50" i="75" s="1"/>
  <c r="S49" i="75"/>
  <c r="U49" i="75" s="1"/>
  <c r="S48" i="75"/>
  <c r="T48" i="75" s="1"/>
  <c r="J48" i="75"/>
  <c r="S47" i="75"/>
  <c r="U47" i="75" s="1"/>
  <c r="S46" i="75"/>
  <c r="U46" i="75" s="1"/>
  <c r="S45" i="75"/>
  <c r="U45" i="75" s="1"/>
  <c r="S44" i="75"/>
  <c r="T44" i="75" s="1"/>
  <c r="J44" i="75"/>
  <c r="S43" i="75"/>
  <c r="U43" i="75" s="1"/>
  <c r="S42" i="75"/>
  <c r="U42" i="75" s="1"/>
  <c r="S41" i="75"/>
  <c r="U41" i="75" s="1"/>
  <c r="S38" i="75"/>
  <c r="U38" i="75" s="1"/>
  <c r="J38" i="75"/>
  <c r="S37" i="75"/>
  <c r="U37" i="75" s="1"/>
  <c r="S36" i="75"/>
  <c r="U36" i="75" s="1"/>
  <c r="S35" i="75"/>
  <c r="U35" i="75" s="1"/>
  <c r="S34" i="75"/>
  <c r="T34" i="75" s="1"/>
  <c r="J34" i="75"/>
  <c r="S33" i="75"/>
  <c r="T33" i="75" s="1"/>
  <c r="S32" i="75"/>
  <c r="U32" i="75" s="1"/>
  <c r="S31" i="75"/>
  <c r="U31" i="75" s="1"/>
  <c r="S30" i="75"/>
  <c r="T30" i="75" s="1"/>
  <c r="J30" i="75"/>
  <c r="S29" i="75"/>
  <c r="T29" i="75" s="1"/>
  <c r="S28" i="75"/>
  <c r="U28" i="75" s="1"/>
  <c r="S27" i="75"/>
  <c r="U27" i="75" s="1"/>
  <c r="S26" i="75"/>
  <c r="T26" i="75" s="1"/>
  <c r="J26" i="75"/>
  <c r="S25" i="75"/>
  <c r="U25" i="75" s="1"/>
  <c r="S24" i="75"/>
  <c r="U24" i="75" s="1"/>
  <c r="S23" i="75"/>
  <c r="U23" i="75" s="1"/>
  <c r="S20" i="75"/>
  <c r="T20" i="75" s="1"/>
  <c r="J20" i="75"/>
  <c r="S19" i="75"/>
  <c r="T19" i="75" s="1"/>
  <c r="S18" i="75"/>
  <c r="U18" i="75" s="1"/>
  <c r="S17" i="75"/>
  <c r="U17" i="75" s="1"/>
  <c r="S16" i="75"/>
  <c r="T16" i="75" s="1"/>
  <c r="J16" i="75"/>
  <c r="S15" i="75"/>
  <c r="T15" i="75" s="1"/>
  <c r="S14" i="75"/>
  <c r="U14" i="75" s="1"/>
  <c r="S13" i="75"/>
  <c r="U13" i="75" s="1"/>
  <c r="S12" i="75"/>
  <c r="T12" i="75" s="1"/>
  <c r="J12" i="75"/>
  <c r="S11" i="75"/>
  <c r="T11" i="75" s="1"/>
  <c r="S10" i="75"/>
  <c r="U10" i="75" s="1"/>
  <c r="S9" i="75"/>
  <c r="U9" i="75" s="1"/>
  <c r="S8" i="75"/>
  <c r="T8" i="75" s="1"/>
  <c r="J8" i="75"/>
  <c r="S7" i="75"/>
  <c r="T7" i="75" s="1"/>
  <c r="S6" i="75"/>
  <c r="U6" i="75" s="1"/>
  <c r="S5" i="75"/>
  <c r="U5" i="75" s="1"/>
  <c r="U227" i="75" l="1"/>
  <c r="U259" i="75"/>
  <c r="U228" i="75"/>
  <c r="U7" i="75"/>
  <c r="T9" i="75"/>
  <c r="U26" i="75"/>
  <c r="U11" i="75"/>
  <c r="T51" i="75"/>
  <c r="T233" i="75"/>
  <c r="T25" i="75"/>
  <c r="T43" i="75"/>
  <c r="U82" i="75"/>
  <c r="T91" i="75"/>
  <c r="U33" i="75"/>
  <c r="T79" i="75"/>
  <c r="U90" i="75"/>
  <c r="T38" i="75"/>
  <c r="U48" i="75"/>
  <c r="T89" i="75"/>
  <c r="T229" i="75"/>
  <c r="U232" i="75"/>
  <c r="T265" i="75"/>
  <c r="U34" i="75"/>
  <c r="T83" i="75"/>
  <c r="T253" i="75"/>
  <c r="T221" i="75"/>
  <c r="T13" i="75"/>
  <c r="U15" i="75"/>
  <c r="U29" i="75"/>
  <c r="T47" i="75"/>
  <c r="T55" i="75"/>
  <c r="T81" i="75"/>
  <c r="T93" i="75"/>
  <c r="U205" i="75"/>
  <c r="T210" i="75"/>
  <c r="T211" i="75"/>
  <c r="T215" i="75"/>
  <c r="U224" i="75"/>
  <c r="T225" i="75"/>
  <c r="T231" i="75"/>
  <c r="T251" i="75"/>
  <c r="U20" i="75"/>
  <c r="T27" i="75"/>
  <c r="T17" i="75"/>
  <c r="U19" i="75"/>
  <c r="T35" i="75"/>
  <c r="U44" i="75"/>
  <c r="U52" i="75"/>
  <c r="T85" i="75"/>
  <c r="U86" i="75"/>
  <c r="T87" i="75"/>
  <c r="T214" i="75"/>
  <c r="T223" i="75"/>
  <c r="T235" i="75"/>
  <c r="U258" i="75"/>
  <c r="T267" i="75"/>
  <c r="J60" i="75"/>
  <c r="J70" i="75"/>
  <c r="U245" i="75"/>
  <c r="T31" i="75"/>
  <c r="T37" i="75"/>
  <c r="T94" i="75"/>
  <c r="J98" i="75"/>
  <c r="J141" i="75"/>
  <c r="T206" i="75"/>
  <c r="T207" i="75"/>
  <c r="T241" i="75"/>
  <c r="U242" i="75"/>
  <c r="T243" i="75"/>
  <c r="T249" i="75"/>
  <c r="T254" i="75"/>
  <c r="T257" i="75"/>
  <c r="T263" i="75"/>
  <c r="T269" i="75"/>
  <c r="L61" i="75"/>
  <c r="L62" i="75" s="1"/>
  <c r="L63" i="75" s="1"/>
  <c r="L64" i="75" s="1"/>
  <c r="L65" i="75" s="1"/>
  <c r="L66" i="75" s="1"/>
  <c r="L71" i="75"/>
  <c r="L72" i="75" s="1"/>
  <c r="L73" i="75" s="1"/>
  <c r="L74" i="75" s="1"/>
  <c r="L75" i="75" s="1"/>
  <c r="L76" i="75" s="1"/>
  <c r="T272" i="75"/>
  <c r="T5" i="75"/>
  <c r="U8" i="75"/>
  <c r="U12" i="75"/>
  <c r="U16" i="75"/>
  <c r="T23" i="75"/>
  <c r="U30" i="75"/>
  <c r="T41" i="75"/>
  <c r="T45" i="75"/>
  <c r="T49" i="75"/>
  <c r="T53" i="75"/>
  <c r="T56" i="75"/>
  <c r="T203" i="75"/>
  <c r="T236" i="75"/>
  <c r="T239" i="75"/>
  <c r="U246" i="75"/>
  <c r="T247" i="75"/>
  <c r="T261" i="75"/>
  <c r="T271" i="75"/>
  <c r="J312" i="75"/>
  <c r="K313" i="75"/>
  <c r="J311" i="75"/>
  <c r="J277" i="75"/>
  <c r="K278" i="75"/>
  <c r="J276" i="75"/>
  <c r="U260" i="75"/>
  <c r="U264" i="75"/>
  <c r="U268" i="75"/>
  <c r="T262" i="75"/>
  <c r="T266" i="75"/>
  <c r="T270" i="75"/>
  <c r="U250" i="75"/>
  <c r="T240" i="75"/>
  <c r="T244" i="75"/>
  <c r="T248" i="75"/>
  <c r="T252" i="75"/>
  <c r="T222" i="75"/>
  <c r="T226" i="75"/>
  <c r="T230" i="75"/>
  <c r="T234" i="75"/>
  <c r="T204" i="75"/>
  <c r="T208" i="75"/>
  <c r="T212" i="75"/>
  <c r="T216" i="75"/>
  <c r="T209" i="75"/>
  <c r="T213" i="75"/>
  <c r="T217" i="75"/>
  <c r="T218" i="75"/>
  <c r="K143" i="75"/>
  <c r="N142" i="75"/>
  <c r="N143" i="75" s="1"/>
  <c r="N144" i="75" s="1"/>
  <c r="J99" i="75"/>
  <c r="K100" i="75"/>
  <c r="T80" i="75"/>
  <c r="T84" i="75"/>
  <c r="T88" i="75"/>
  <c r="T92" i="75"/>
  <c r="K72" i="75"/>
  <c r="N62" i="75"/>
  <c r="N63" i="75" s="1"/>
  <c r="N64" i="75" s="1"/>
  <c r="N65" i="75" s="1"/>
  <c r="N66" i="75" s="1"/>
  <c r="J61" i="75"/>
  <c r="K63" i="75"/>
  <c r="T42" i="75"/>
  <c r="T46" i="75"/>
  <c r="T50" i="75"/>
  <c r="T54" i="75"/>
  <c r="T24" i="75"/>
  <c r="T28" i="75"/>
  <c r="T32" i="75"/>
  <c r="T36" i="75"/>
  <c r="T6" i="75"/>
  <c r="T10" i="75"/>
  <c r="T14" i="75"/>
  <c r="T18" i="75"/>
  <c r="J71" i="2"/>
  <c r="D70" i="2"/>
  <c r="J70" i="2" s="1"/>
  <c r="D69" i="2"/>
  <c r="J69" i="2" s="1"/>
  <c r="D68" i="2"/>
  <c r="J68" i="2" s="1"/>
  <c r="J406" i="2"/>
  <c r="N407" i="2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L407" i="2"/>
  <c r="L408" i="2" s="1"/>
  <c r="L409" i="2" s="1"/>
  <c r="L410" i="2" s="1"/>
  <c r="L411" i="2" s="1"/>
  <c r="L412" i="2" s="1"/>
  <c r="L413" i="2" s="1"/>
  <c r="L414" i="2" s="1"/>
  <c r="L415" i="2" s="1"/>
  <c r="L416" i="2" s="1"/>
  <c r="L417" i="2" s="1"/>
  <c r="L418" i="2" s="1"/>
  <c r="L419" i="2" s="1"/>
  <c r="L420" i="2" s="1"/>
  <c r="L421" i="2" s="1"/>
  <c r="L422" i="2" s="1"/>
  <c r="L423" i="2" s="1"/>
  <c r="L424" i="2" s="1"/>
  <c r="L425" i="2" s="1"/>
  <c r="L426" i="2" s="1"/>
  <c r="L427" i="2" s="1"/>
  <c r="L428" i="2" s="1"/>
  <c r="L429" i="2" s="1"/>
  <c r="L430" i="2" s="1"/>
  <c r="L431" i="2" s="1"/>
  <c r="L432" i="2" s="1"/>
  <c r="L433" i="2" s="1"/>
  <c r="L434" i="2" s="1"/>
  <c r="K407" i="2"/>
  <c r="K408" i="2" s="1"/>
  <c r="K409" i="2" s="1"/>
  <c r="K410" i="2" s="1"/>
  <c r="K411" i="2" s="1"/>
  <c r="K412" i="2" s="1"/>
  <c r="K413" i="2" s="1"/>
  <c r="K414" i="2" s="1"/>
  <c r="K415" i="2" s="1"/>
  <c r="K416" i="2" s="1"/>
  <c r="K417" i="2" s="1"/>
  <c r="K418" i="2" s="1"/>
  <c r="K419" i="2" s="1"/>
  <c r="K420" i="2" s="1"/>
  <c r="K421" i="2" s="1"/>
  <c r="K422" i="2" s="1"/>
  <c r="K423" i="2" s="1"/>
  <c r="K424" i="2" s="1"/>
  <c r="K425" i="2" s="1"/>
  <c r="K426" i="2" s="1"/>
  <c r="K427" i="2" s="1"/>
  <c r="K428" i="2" s="1"/>
  <c r="K429" i="2" s="1"/>
  <c r="K430" i="2" s="1"/>
  <c r="K431" i="2" s="1"/>
  <c r="K432" i="2" s="1"/>
  <c r="K433" i="2" s="1"/>
  <c r="K434" i="2" s="1"/>
  <c r="N353" i="2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L353" i="2"/>
  <c r="L354" i="2" s="1"/>
  <c r="L355" i="2" s="1"/>
  <c r="L356" i="2" s="1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70" i="2" s="1"/>
  <c r="L371" i="2" s="1"/>
  <c r="L372" i="2" s="1"/>
  <c r="L373" i="2" s="1"/>
  <c r="L374" i="2" s="1"/>
  <c r="L375" i="2" s="1"/>
  <c r="L376" i="2" s="1"/>
  <c r="L377" i="2" s="1"/>
  <c r="L378" i="2" s="1"/>
  <c r="L379" i="2" s="1"/>
  <c r="L380" i="2" s="1"/>
  <c r="L381" i="2" s="1"/>
  <c r="L382" i="2" s="1"/>
  <c r="L383" i="2" s="1"/>
  <c r="L384" i="2" s="1"/>
  <c r="L385" i="2" s="1"/>
  <c r="L386" i="2" s="1"/>
  <c r="L387" i="2" s="1"/>
  <c r="L388" i="2" s="1"/>
  <c r="L389" i="2" s="1"/>
  <c r="L390" i="2" s="1"/>
  <c r="L391" i="2" s="1"/>
  <c r="L392" i="2" s="1"/>
  <c r="L393" i="2" s="1"/>
  <c r="L394" i="2" s="1"/>
  <c r="L395" i="2" s="1"/>
  <c r="L396" i="2" s="1"/>
  <c r="L397" i="2" s="1"/>
  <c r="K353" i="2"/>
  <c r="K354" i="2" s="1"/>
  <c r="K355" i="2" s="1"/>
  <c r="K356" i="2" s="1"/>
  <c r="K357" i="2" s="1"/>
  <c r="K358" i="2" s="1"/>
  <c r="K359" i="2" s="1"/>
  <c r="K360" i="2" s="1"/>
  <c r="K361" i="2" s="1"/>
  <c r="K362" i="2" s="1"/>
  <c r="K363" i="2" s="1"/>
  <c r="K364" i="2" s="1"/>
  <c r="K365" i="2" s="1"/>
  <c r="K366" i="2" s="1"/>
  <c r="K367" i="2" s="1"/>
  <c r="K368" i="2" s="1"/>
  <c r="K369" i="2" s="1"/>
  <c r="K370" i="2" s="1"/>
  <c r="K371" i="2" s="1"/>
  <c r="K372" i="2" s="1"/>
  <c r="K373" i="2" s="1"/>
  <c r="K374" i="2" s="1"/>
  <c r="K375" i="2" s="1"/>
  <c r="K376" i="2" s="1"/>
  <c r="K377" i="2" s="1"/>
  <c r="K378" i="2" s="1"/>
  <c r="K379" i="2" s="1"/>
  <c r="K380" i="2" s="1"/>
  <c r="K381" i="2" s="1"/>
  <c r="K382" i="2" s="1"/>
  <c r="K383" i="2" s="1"/>
  <c r="K384" i="2" s="1"/>
  <c r="K385" i="2" s="1"/>
  <c r="K386" i="2" s="1"/>
  <c r="K387" i="2" s="1"/>
  <c r="K388" i="2" s="1"/>
  <c r="K389" i="2" s="1"/>
  <c r="K390" i="2" s="1"/>
  <c r="K391" i="2" s="1"/>
  <c r="K392" i="2" s="1"/>
  <c r="K393" i="2" s="1"/>
  <c r="K394" i="2" s="1"/>
  <c r="K395" i="2" s="1"/>
  <c r="K396" i="2" s="1"/>
  <c r="K397" i="2" s="1"/>
  <c r="N239" i="2"/>
  <c r="N240" i="2" s="1"/>
  <c r="N241" i="2" s="1"/>
  <c r="J253" i="2"/>
  <c r="J238" i="2"/>
  <c r="L239" i="2"/>
  <c r="K239" i="2"/>
  <c r="K240" i="2" s="1"/>
  <c r="J234" i="2"/>
  <c r="N220" i="2"/>
  <c r="N221" i="2" s="1"/>
  <c r="N222" i="2" s="1"/>
  <c r="K220" i="2"/>
  <c r="J219" i="2"/>
  <c r="J223" i="2"/>
  <c r="L224" i="2"/>
  <c r="J227" i="2"/>
  <c r="K224" i="2"/>
  <c r="N224" i="2"/>
  <c r="J180" i="2"/>
  <c r="K181" i="2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L181" i="2"/>
  <c r="L182" i="2" s="1"/>
  <c r="L183" i="2" s="1"/>
  <c r="L184" i="2" s="1"/>
  <c r="L186" i="2"/>
  <c r="L187" i="2" s="1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N186" i="2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181" i="2"/>
  <c r="N182" i="2" s="1"/>
  <c r="J146" i="2"/>
  <c r="J22" i="2"/>
  <c r="K5" i="2"/>
  <c r="K6" i="2" s="1"/>
  <c r="K23" i="2"/>
  <c r="K24" i="2" s="1"/>
  <c r="K147" i="2"/>
  <c r="L147" i="2"/>
  <c r="L148" i="2" s="1"/>
  <c r="L149" i="2" s="1"/>
  <c r="L150" i="2" s="1"/>
  <c r="L151" i="2" s="1"/>
  <c r="L152" i="2" s="1"/>
  <c r="L153" i="2" s="1"/>
  <c r="N147" i="2"/>
  <c r="N148" i="2" s="1"/>
  <c r="N149" i="2" s="1"/>
  <c r="N150" i="2" s="1"/>
  <c r="N151" i="2" s="1"/>
  <c r="N152" i="2" s="1"/>
  <c r="N153" i="2" s="1"/>
  <c r="N23" i="2"/>
  <c r="N24" i="2" s="1"/>
  <c r="N25" i="2" s="1"/>
  <c r="N5" i="2"/>
  <c r="N6" i="2" s="1"/>
  <c r="N7" i="2" s="1"/>
  <c r="L23" i="2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I23" i="2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L5" i="2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J220" i="2" l="1"/>
  <c r="J224" i="2"/>
  <c r="J216" i="2"/>
  <c r="J186" i="2"/>
  <c r="J239" i="2"/>
  <c r="N183" i="2"/>
  <c r="N184" i="2" s="1"/>
  <c r="J184" i="2" s="1"/>
  <c r="J182" i="2"/>
  <c r="K241" i="2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78" i="2" s="1"/>
  <c r="K279" i="2" s="1"/>
  <c r="K280" i="2" s="1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J434" i="2"/>
  <c r="J24" i="2"/>
  <c r="J210" i="2"/>
  <c r="J202" i="2"/>
  <c r="J194" i="2"/>
  <c r="J190" i="2"/>
  <c r="J432" i="2"/>
  <c r="J424" i="2"/>
  <c r="J420" i="2"/>
  <c r="J412" i="2"/>
  <c r="J408" i="2"/>
  <c r="J209" i="2"/>
  <c r="J205" i="2"/>
  <c r="J197" i="2"/>
  <c r="J189" i="2"/>
  <c r="L240" i="2"/>
  <c r="L241" i="2" s="1"/>
  <c r="L242" i="2" s="1"/>
  <c r="L243" i="2" s="1"/>
  <c r="L244" i="2" s="1"/>
  <c r="L245" i="2" s="1"/>
  <c r="L246" i="2" s="1"/>
  <c r="L247" i="2" s="1"/>
  <c r="L248" i="2" s="1"/>
  <c r="L249" i="2" s="1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78" i="2" s="1"/>
  <c r="L279" i="2" s="1"/>
  <c r="L280" i="2" s="1"/>
  <c r="L281" i="2" s="1"/>
  <c r="L282" i="2" s="1"/>
  <c r="L283" i="2" s="1"/>
  <c r="L284" i="2" s="1"/>
  <c r="L285" i="2" s="1"/>
  <c r="L286" i="2" s="1"/>
  <c r="L287" i="2" s="1"/>
  <c r="J431" i="2"/>
  <c r="J427" i="2"/>
  <c r="J423" i="2"/>
  <c r="J419" i="2"/>
  <c r="J415" i="2"/>
  <c r="J411" i="2"/>
  <c r="J407" i="2"/>
  <c r="J212" i="2"/>
  <c r="J208" i="2"/>
  <c r="J204" i="2"/>
  <c r="J200" i="2"/>
  <c r="J196" i="2"/>
  <c r="J192" i="2"/>
  <c r="J188" i="2"/>
  <c r="J430" i="2"/>
  <c r="J426" i="2"/>
  <c r="J422" i="2"/>
  <c r="J418" i="2"/>
  <c r="J414" i="2"/>
  <c r="J410" i="2"/>
  <c r="J214" i="2"/>
  <c r="J206" i="2"/>
  <c r="J198" i="2"/>
  <c r="J428" i="2"/>
  <c r="J416" i="2"/>
  <c r="J213" i="2"/>
  <c r="J201" i="2"/>
  <c r="J193" i="2"/>
  <c r="J185" i="2"/>
  <c r="J181" i="2"/>
  <c r="J147" i="2"/>
  <c r="J23" i="2"/>
  <c r="J215" i="2"/>
  <c r="J211" i="2"/>
  <c r="J207" i="2"/>
  <c r="J203" i="2"/>
  <c r="J199" i="2"/>
  <c r="J195" i="2"/>
  <c r="J191" i="2"/>
  <c r="J187" i="2"/>
  <c r="J433" i="2"/>
  <c r="J429" i="2"/>
  <c r="J425" i="2"/>
  <c r="J421" i="2"/>
  <c r="J417" i="2"/>
  <c r="J413" i="2"/>
  <c r="J409" i="2"/>
  <c r="J62" i="75"/>
  <c r="J71" i="75"/>
  <c r="K314" i="75"/>
  <c r="J313" i="75"/>
  <c r="K279" i="75"/>
  <c r="J278" i="75"/>
  <c r="J142" i="75"/>
  <c r="K144" i="75"/>
  <c r="J143" i="75"/>
  <c r="K101" i="75"/>
  <c r="J100" i="75"/>
  <c r="K73" i="75"/>
  <c r="J72" i="75"/>
  <c r="J63" i="75"/>
  <c r="K64" i="75"/>
  <c r="N242" i="2"/>
  <c r="K221" i="2"/>
  <c r="K148" i="2"/>
  <c r="K25" i="2"/>
  <c r="K7" i="2"/>
  <c r="K8" i="2" s="1"/>
  <c r="K9" i="2" s="1"/>
  <c r="K10" i="2" s="1"/>
  <c r="K11" i="2" s="1"/>
  <c r="K12" i="2" s="1"/>
  <c r="K13" i="2" s="1"/>
  <c r="N26" i="2"/>
  <c r="N8" i="2"/>
  <c r="I353" i="2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J183" i="2" l="1"/>
  <c r="J240" i="2"/>
  <c r="J241" i="2"/>
  <c r="J314" i="75"/>
  <c r="K315" i="75"/>
  <c r="J279" i="75"/>
  <c r="K280" i="75"/>
  <c r="K145" i="75"/>
  <c r="J144" i="75"/>
  <c r="K102" i="75"/>
  <c r="J101" i="75"/>
  <c r="K74" i="75"/>
  <c r="J73" i="75"/>
  <c r="K65" i="75"/>
  <c r="J64" i="75"/>
  <c r="K26" i="2"/>
  <c r="J25" i="2"/>
  <c r="K14" i="2"/>
  <c r="K15" i="2" s="1"/>
  <c r="K16" i="2" s="1"/>
  <c r="K17" i="2" s="1"/>
  <c r="K18" i="2" s="1"/>
  <c r="J242" i="2"/>
  <c r="N243" i="2"/>
  <c r="K222" i="2"/>
  <c r="J222" i="2" s="1"/>
  <c r="J221" i="2"/>
  <c r="K149" i="2"/>
  <c r="J148" i="2"/>
  <c r="N27" i="2"/>
  <c r="N9" i="2"/>
  <c r="D372" i="2"/>
  <c r="J372" i="2" s="1"/>
  <c r="D373" i="2"/>
  <c r="J373" i="2" s="1"/>
  <c r="D374" i="2"/>
  <c r="J374" i="2" s="1"/>
  <c r="D375" i="2"/>
  <c r="J375" i="2" s="1"/>
  <c r="D376" i="2"/>
  <c r="J376" i="2" s="1"/>
  <c r="D377" i="2"/>
  <c r="J377" i="2" s="1"/>
  <c r="D378" i="2"/>
  <c r="J378" i="2" s="1"/>
  <c r="D379" i="2"/>
  <c r="J379" i="2" s="1"/>
  <c r="D380" i="2"/>
  <c r="J380" i="2" s="1"/>
  <c r="D381" i="2"/>
  <c r="J381" i="2" s="1"/>
  <c r="D382" i="2"/>
  <c r="J382" i="2" s="1"/>
  <c r="D383" i="2"/>
  <c r="J383" i="2" s="1"/>
  <c r="D384" i="2"/>
  <c r="J384" i="2" s="1"/>
  <c r="D385" i="2"/>
  <c r="J385" i="2" s="1"/>
  <c r="D371" i="2"/>
  <c r="J371" i="2" s="1"/>
  <c r="D370" i="2"/>
  <c r="J370" i="2" s="1"/>
  <c r="D369" i="2"/>
  <c r="J369" i="2" s="1"/>
  <c r="D368" i="2"/>
  <c r="J368" i="2" s="1"/>
  <c r="D367" i="2"/>
  <c r="J367" i="2" s="1"/>
  <c r="D366" i="2"/>
  <c r="J366" i="2" s="1"/>
  <c r="D365" i="2"/>
  <c r="J365" i="2" s="1"/>
  <c r="D364" i="2"/>
  <c r="J364" i="2" s="1"/>
  <c r="D363" i="2"/>
  <c r="J363" i="2" s="1"/>
  <c r="D362" i="2"/>
  <c r="J362" i="2" s="1"/>
  <c r="D361" i="2"/>
  <c r="J361" i="2" s="1"/>
  <c r="D360" i="2"/>
  <c r="J360" i="2" s="1"/>
  <c r="D359" i="2"/>
  <c r="J359" i="2" s="1"/>
  <c r="S434" i="2"/>
  <c r="T434" i="2" s="1"/>
  <c r="S433" i="2"/>
  <c r="T433" i="2" s="1"/>
  <c r="S432" i="2"/>
  <c r="T432" i="2" s="1"/>
  <c r="S431" i="2"/>
  <c r="T431" i="2" s="1"/>
  <c r="S430" i="2"/>
  <c r="T430" i="2" s="1"/>
  <c r="S429" i="2"/>
  <c r="T429" i="2" s="1"/>
  <c r="S428" i="2"/>
  <c r="T428" i="2" s="1"/>
  <c r="S427" i="2"/>
  <c r="T427" i="2" s="1"/>
  <c r="S426" i="2"/>
  <c r="T426" i="2" s="1"/>
  <c r="S425" i="2"/>
  <c r="T425" i="2" s="1"/>
  <c r="S424" i="2"/>
  <c r="T424" i="2" s="1"/>
  <c r="S423" i="2"/>
  <c r="T423" i="2" s="1"/>
  <c r="S422" i="2"/>
  <c r="T422" i="2" s="1"/>
  <c r="S421" i="2"/>
  <c r="T421" i="2" s="1"/>
  <c r="S420" i="2"/>
  <c r="T420" i="2" s="1"/>
  <c r="S419" i="2"/>
  <c r="T419" i="2" s="1"/>
  <c r="S418" i="2"/>
  <c r="T418" i="2" s="1"/>
  <c r="S417" i="2"/>
  <c r="T417" i="2" s="1"/>
  <c r="S416" i="2"/>
  <c r="T416" i="2" s="1"/>
  <c r="S415" i="2"/>
  <c r="T415" i="2" s="1"/>
  <c r="S414" i="2"/>
  <c r="T414" i="2" s="1"/>
  <c r="S413" i="2"/>
  <c r="T413" i="2" s="1"/>
  <c r="S412" i="2"/>
  <c r="T412" i="2" s="1"/>
  <c r="S411" i="2"/>
  <c r="T411" i="2" s="1"/>
  <c r="S410" i="2"/>
  <c r="T410" i="2" s="1"/>
  <c r="S409" i="2"/>
  <c r="T409" i="2" s="1"/>
  <c r="S408" i="2"/>
  <c r="T408" i="2" s="1"/>
  <c r="S407" i="2"/>
  <c r="T407" i="2" s="1"/>
  <c r="T406" i="2"/>
  <c r="S406" i="2"/>
  <c r="K316" i="75" l="1"/>
  <c r="J315" i="75"/>
  <c r="K281" i="75"/>
  <c r="J280" i="75"/>
  <c r="K146" i="75"/>
  <c r="J145" i="75"/>
  <c r="K103" i="75"/>
  <c r="J102" i="75"/>
  <c r="K75" i="75"/>
  <c r="J74" i="75"/>
  <c r="J65" i="75"/>
  <c r="K66" i="75"/>
  <c r="J66" i="75" s="1"/>
  <c r="K19" i="2"/>
  <c r="K27" i="2"/>
  <c r="J26" i="2"/>
  <c r="N244" i="2"/>
  <c r="J243" i="2"/>
  <c r="K150" i="2"/>
  <c r="J149" i="2"/>
  <c r="N28" i="2"/>
  <c r="N10" i="2"/>
  <c r="C23" i="2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D4" i="2"/>
  <c r="J4" i="2" s="1"/>
  <c r="D56" i="2"/>
  <c r="J56" i="2" s="1"/>
  <c r="D57" i="2"/>
  <c r="J57" i="2" s="1"/>
  <c r="D58" i="2"/>
  <c r="J58" i="2" s="1"/>
  <c r="D59" i="2"/>
  <c r="J59" i="2" s="1"/>
  <c r="D60" i="2"/>
  <c r="J60" i="2" s="1"/>
  <c r="D61" i="2"/>
  <c r="J61" i="2" s="1"/>
  <c r="D62" i="2"/>
  <c r="J62" i="2" s="1"/>
  <c r="D63" i="2"/>
  <c r="J63" i="2" s="1"/>
  <c r="D64" i="2"/>
  <c r="J64" i="2" s="1"/>
  <c r="D65" i="2"/>
  <c r="J65" i="2" s="1"/>
  <c r="D66" i="2"/>
  <c r="J66" i="2" s="1"/>
  <c r="D67" i="2"/>
  <c r="J67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U61" i="2" s="1"/>
  <c r="S62" i="2"/>
  <c r="T62" i="2" s="1"/>
  <c r="S63" i="2"/>
  <c r="T63" i="2" s="1"/>
  <c r="S64" i="2"/>
  <c r="T64" i="2" s="1"/>
  <c r="S65" i="2"/>
  <c r="U65" i="2" s="1"/>
  <c r="S66" i="2"/>
  <c r="T66" i="2" s="1"/>
  <c r="S67" i="2"/>
  <c r="T67" i="2" s="1"/>
  <c r="S68" i="2"/>
  <c r="T68" i="2" s="1"/>
  <c r="S69" i="2"/>
  <c r="U69" i="2" s="1"/>
  <c r="S70" i="2"/>
  <c r="T70" i="2" s="1"/>
  <c r="S71" i="2"/>
  <c r="T71" i="2" s="1"/>
  <c r="D16" i="2"/>
  <c r="J316" i="75" l="1"/>
  <c r="K317" i="75"/>
  <c r="J281" i="75"/>
  <c r="K282" i="75"/>
  <c r="K147" i="75"/>
  <c r="J146" i="75"/>
  <c r="J103" i="75"/>
  <c r="K104" i="75"/>
  <c r="K76" i="75"/>
  <c r="J76" i="75" s="1"/>
  <c r="J75" i="75"/>
  <c r="K28" i="2"/>
  <c r="J27" i="2"/>
  <c r="C46" i="2"/>
  <c r="C47" i="2" s="1"/>
  <c r="C48" i="2" s="1"/>
  <c r="C49" i="2" s="1"/>
  <c r="C50" i="2" s="1"/>
  <c r="C51" i="2" s="1"/>
  <c r="C52" i="2" s="1"/>
  <c r="C53" i="2" s="1"/>
  <c r="N245" i="2"/>
  <c r="J244" i="2"/>
  <c r="K151" i="2"/>
  <c r="J150" i="2"/>
  <c r="N29" i="2"/>
  <c r="N11" i="2"/>
  <c r="U70" i="2"/>
  <c r="T61" i="2"/>
  <c r="U56" i="2"/>
  <c r="T69" i="2"/>
  <c r="U57" i="2"/>
  <c r="T65" i="2"/>
  <c r="U68" i="2"/>
  <c r="U64" i="2"/>
  <c r="U60" i="2"/>
  <c r="U58" i="2"/>
  <c r="U66" i="2"/>
  <c r="U62" i="2"/>
  <c r="U71" i="2"/>
  <c r="U67" i="2"/>
  <c r="U63" i="2"/>
  <c r="U59" i="2"/>
  <c r="C342" i="6"/>
  <c r="C343" i="6" s="1"/>
  <c r="C344" i="6" s="1"/>
  <c r="C345" i="6" s="1"/>
  <c r="C346" i="6" s="1"/>
  <c r="C341" i="6"/>
  <c r="K318" i="75" l="1"/>
  <c r="J317" i="75"/>
  <c r="K283" i="75"/>
  <c r="J282" i="75"/>
  <c r="K148" i="75"/>
  <c r="J147" i="75"/>
  <c r="K105" i="75"/>
  <c r="J104" i="75"/>
  <c r="K29" i="2"/>
  <c r="J28" i="2"/>
  <c r="N246" i="2"/>
  <c r="J245" i="2"/>
  <c r="K152" i="2"/>
  <c r="J151" i="2"/>
  <c r="N30" i="2"/>
  <c r="N12" i="2"/>
  <c r="E342" i="6"/>
  <c r="E343" i="6" s="1"/>
  <c r="E344" i="6" s="1"/>
  <c r="E345" i="6" s="1"/>
  <c r="E346" i="6" s="1"/>
  <c r="E341" i="6"/>
  <c r="S309" i="6"/>
  <c r="T309" i="6" s="1"/>
  <c r="J309" i="6"/>
  <c r="S306" i="6"/>
  <c r="T306" i="6" s="1"/>
  <c r="D306" i="6"/>
  <c r="J306" i="6" s="1"/>
  <c r="S305" i="6"/>
  <c r="T305" i="6" s="1"/>
  <c r="D305" i="6"/>
  <c r="J305" i="6" s="1"/>
  <c r="S304" i="6"/>
  <c r="T304" i="6" s="1"/>
  <c r="D304" i="6"/>
  <c r="J304" i="6" s="1"/>
  <c r="S303" i="6"/>
  <c r="T303" i="6" s="1"/>
  <c r="D303" i="6"/>
  <c r="J303" i="6" s="1"/>
  <c r="S302" i="6"/>
  <c r="T302" i="6" s="1"/>
  <c r="D302" i="6"/>
  <c r="J302" i="6" s="1"/>
  <c r="S301" i="6"/>
  <c r="T301" i="6" s="1"/>
  <c r="D301" i="6"/>
  <c r="J301" i="6" s="1"/>
  <c r="S300" i="6"/>
  <c r="T300" i="6" s="1"/>
  <c r="D300" i="6"/>
  <c r="J300" i="6" s="1"/>
  <c r="S299" i="6"/>
  <c r="T299" i="6" s="1"/>
  <c r="D299" i="6"/>
  <c r="J299" i="6" s="1"/>
  <c r="S298" i="6"/>
  <c r="T298" i="6" s="1"/>
  <c r="D298" i="6"/>
  <c r="J298" i="6" s="1"/>
  <c r="S297" i="6"/>
  <c r="T297" i="6" s="1"/>
  <c r="D297" i="6"/>
  <c r="J297" i="6" s="1"/>
  <c r="S296" i="6"/>
  <c r="T296" i="6" s="1"/>
  <c r="D296" i="6"/>
  <c r="J296" i="6" s="1"/>
  <c r="S295" i="6"/>
  <c r="T295" i="6" s="1"/>
  <c r="D295" i="6"/>
  <c r="J295" i="6" s="1"/>
  <c r="S294" i="6"/>
  <c r="T294" i="6" s="1"/>
  <c r="D294" i="6"/>
  <c r="J294" i="6" s="1"/>
  <c r="S293" i="6"/>
  <c r="T293" i="6" s="1"/>
  <c r="D293" i="6"/>
  <c r="J293" i="6" s="1"/>
  <c r="S292" i="6"/>
  <c r="T292" i="6" s="1"/>
  <c r="D292" i="6"/>
  <c r="J292" i="6" s="1"/>
  <c r="S291" i="6"/>
  <c r="T291" i="6" s="1"/>
  <c r="D291" i="6"/>
  <c r="J291" i="6" s="1"/>
  <c r="S290" i="6"/>
  <c r="T290" i="6" s="1"/>
  <c r="D290" i="6"/>
  <c r="J290" i="6" s="1"/>
  <c r="S289" i="6"/>
  <c r="T289" i="6" s="1"/>
  <c r="D289" i="6"/>
  <c r="J289" i="6" s="1"/>
  <c r="S288" i="6"/>
  <c r="T288" i="6" s="1"/>
  <c r="D288" i="6"/>
  <c r="J288" i="6" s="1"/>
  <c r="S287" i="6"/>
  <c r="T287" i="6" s="1"/>
  <c r="D287" i="6"/>
  <c r="J287" i="6" s="1"/>
  <c r="J284" i="6"/>
  <c r="J283" i="6"/>
  <c r="J282" i="6"/>
  <c r="J281" i="6"/>
  <c r="J280" i="6"/>
  <c r="S279" i="6"/>
  <c r="T279" i="6" s="1"/>
  <c r="J279" i="6"/>
  <c r="S278" i="6"/>
  <c r="T278" i="6" s="1"/>
  <c r="J278" i="6"/>
  <c r="S277" i="6"/>
  <c r="T277" i="6" s="1"/>
  <c r="J277" i="6"/>
  <c r="S276" i="6"/>
  <c r="T276" i="6" s="1"/>
  <c r="J276" i="6"/>
  <c r="S275" i="6"/>
  <c r="T275" i="6" s="1"/>
  <c r="J275" i="6"/>
  <c r="S274" i="6"/>
  <c r="T274" i="6" s="1"/>
  <c r="J274" i="6"/>
  <c r="S273" i="6"/>
  <c r="T273" i="6" s="1"/>
  <c r="J273" i="6"/>
  <c r="S272" i="6"/>
  <c r="T272" i="6" s="1"/>
  <c r="J272" i="6"/>
  <c r="S271" i="6"/>
  <c r="T271" i="6" s="1"/>
  <c r="J271" i="6"/>
  <c r="S270" i="6"/>
  <c r="T270" i="6" s="1"/>
  <c r="J270" i="6"/>
  <c r="S269" i="6"/>
  <c r="T269" i="6" s="1"/>
  <c r="J269" i="6"/>
  <c r="S268" i="6"/>
  <c r="T268" i="6" s="1"/>
  <c r="J268" i="6"/>
  <c r="S267" i="6"/>
  <c r="T267" i="6" s="1"/>
  <c r="J267" i="6"/>
  <c r="S266" i="6"/>
  <c r="T266" i="6" s="1"/>
  <c r="J266" i="6"/>
  <c r="S265" i="6"/>
  <c r="T265" i="6" s="1"/>
  <c r="J265" i="6"/>
  <c r="S264" i="6"/>
  <c r="T264" i="6" s="1"/>
  <c r="J264" i="6"/>
  <c r="S263" i="6"/>
  <c r="T263" i="6" s="1"/>
  <c r="J263" i="6"/>
  <c r="S262" i="6"/>
  <c r="T262" i="6" s="1"/>
  <c r="J262" i="6"/>
  <c r="S261" i="6"/>
  <c r="T261" i="6" s="1"/>
  <c r="J261" i="6"/>
  <c r="S260" i="6"/>
  <c r="T260" i="6" s="1"/>
  <c r="J260" i="6"/>
  <c r="S259" i="6"/>
  <c r="T259" i="6" s="1"/>
  <c r="J259" i="6"/>
  <c r="S258" i="6"/>
  <c r="T258" i="6" s="1"/>
  <c r="J258" i="6"/>
  <c r="S257" i="6"/>
  <c r="T257" i="6" s="1"/>
  <c r="J257" i="6"/>
  <c r="S256" i="6"/>
  <c r="T256" i="6" s="1"/>
  <c r="J256" i="6"/>
  <c r="S255" i="6"/>
  <c r="T255" i="6" s="1"/>
  <c r="J255" i="6"/>
  <c r="S254" i="6"/>
  <c r="T254" i="6" s="1"/>
  <c r="J254" i="6"/>
  <c r="S253" i="6"/>
  <c r="T253" i="6" s="1"/>
  <c r="J253" i="6"/>
  <c r="S252" i="6"/>
  <c r="T252" i="6" s="1"/>
  <c r="J252" i="6"/>
  <c r="S251" i="6"/>
  <c r="T251" i="6" s="1"/>
  <c r="J251" i="6"/>
  <c r="S250" i="6"/>
  <c r="T250" i="6" s="1"/>
  <c r="J250" i="6"/>
  <c r="S249" i="6"/>
  <c r="T249" i="6" s="1"/>
  <c r="J249" i="6"/>
  <c r="S248" i="6"/>
  <c r="T248" i="6" s="1"/>
  <c r="J248" i="6"/>
  <c r="S247" i="6"/>
  <c r="T247" i="6" s="1"/>
  <c r="J247" i="6"/>
  <c r="S246" i="6"/>
  <c r="T246" i="6" s="1"/>
  <c r="J246" i="6"/>
  <c r="S245" i="6"/>
  <c r="T245" i="6" s="1"/>
  <c r="J245" i="6"/>
  <c r="S244" i="6"/>
  <c r="T244" i="6" s="1"/>
  <c r="J244" i="6"/>
  <c r="S243" i="6"/>
  <c r="T243" i="6" s="1"/>
  <c r="J243" i="6"/>
  <c r="S242" i="6"/>
  <c r="T242" i="6" s="1"/>
  <c r="J242" i="6"/>
  <c r="S241" i="6"/>
  <c r="T241" i="6" s="1"/>
  <c r="J241" i="6"/>
  <c r="S240" i="6"/>
  <c r="T240" i="6" s="1"/>
  <c r="J240" i="6"/>
  <c r="S239" i="6"/>
  <c r="T239" i="6" s="1"/>
  <c r="J239" i="6"/>
  <c r="S238" i="6"/>
  <c r="T238" i="6" s="1"/>
  <c r="J238" i="6"/>
  <c r="S237" i="6"/>
  <c r="T237" i="6" s="1"/>
  <c r="J237" i="6"/>
  <c r="S236" i="6"/>
  <c r="T236" i="6" s="1"/>
  <c r="J236" i="6"/>
  <c r="S235" i="6"/>
  <c r="T235" i="6" s="1"/>
  <c r="J235" i="6"/>
  <c r="S234" i="6"/>
  <c r="T234" i="6" s="1"/>
  <c r="J234" i="6"/>
  <c r="S233" i="6"/>
  <c r="T233" i="6" s="1"/>
  <c r="J233" i="6"/>
  <c r="S232" i="6"/>
  <c r="T232" i="6" s="1"/>
  <c r="J232" i="6"/>
  <c r="S231" i="6"/>
  <c r="T231" i="6" s="1"/>
  <c r="J231" i="6"/>
  <c r="S230" i="6"/>
  <c r="T230" i="6" s="1"/>
  <c r="J230" i="6"/>
  <c r="J227" i="6"/>
  <c r="J226" i="6"/>
  <c r="J225" i="6"/>
  <c r="J224" i="6"/>
  <c r="J223" i="6"/>
  <c r="S222" i="6"/>
  <c r="T222" i="6" s="1"/>
  <c r="J222" i="6"/>
  <c r="S221" i="6"/>
  <c r="T221" i="6" s="1"/>
  <c r="J221" i="6"/>
  <c r="S220" i="6"/>
  <c r="T220" i="6" s="1"/>
  <c r="J220" i="6"/>
  <c r="S219" i="6"/>
  <c r="T219" i="6" s="1"/>
  <c r="J219" i="6"/>
  <c r="S218" i="6"/>
  <c r="T218" i="6" s="1"/>
  <c r="J218" i="6"/>
  <c r="S217" i="6"/>
  <c r="T217" i="6" s="1"/>
  <c r="J217" i="6"/>
  <c r="S216" i="6"/>
  <c r="T216" i="6" s="1"/>
  <c r="J216" i="6"/>
  <c r="S215" i="6"/>
  <c r="T215" i="6" s="1"/>
  <c r="J215" i="6"/>
  <c r="S214" i="6"/>
  <c r="T214" i="6" s="1"/>
  <c r="J214" i="6"/>
  <c r="S213" i="6"/>
  <c r="T213" i="6" s="1"/>
  <c r="J213" i="6"/>
  <c r="S212" i="6"/>
  <c r="T212" i="6" s="1"/>
  <c r="J212" i="6"/>
  <c r="S211" i="6"/>
  <c r="T211" i="6" s="1"/>
  <c r="J211" i="6"/>
  <c r="S210" i="6"/>
  <c r="T210" i="6" s="1"/>
  <c r="J210" i="6"/>
  <c r="S209" i="6"/>
  <c r="T209" i="6" s="1"/>
  <c r="J209" i="6"/>
  <c r="S208" i="6"/>
  <c r="T208" i="6" s="1"/>
  <c r="J208" i="6"/>
  <c r="S207" i="6"/>
  <c r="T207" i="6" s="1"/>
  <c r="J207" i="6"/>
  <c r="S206" i="6"/>
  <c r="T206" i="6" s="1"/>
  <c r="J206" i="6"/>
  <c r="S205" i="6"/>
  <c r="T205" i="6" s="1"/>
  <c r="J205" i="6"/>
  <c r="S204" i="6"/>
  <c r="T204" i="6" s="1"/>
  <c r="J204" i="6"/>
  <c r="S203" i="6"/>
  <c r="T203" i="6" s="1"/>
  <c r="J203" i="6"/>
  <c r="S202" i="6"/>
  <c r="T202" i="6" s="1"/>
  <c r="J202" i="6"/>
  <c r="S201" i="6"/>
  <c r="T201" i="6" s="1"/>
  <c r="J201" i="6"/>
  <c r="S200" i="6"/>
  <c r="T200" i="6" s="1"/>
  <c r="J200" i="6"/>
  <c r="S199" i="6"/>
  <c r="T199" i="6" s="1"/>
  <c r="J199" i="6"/>
  <c r="S198" i="6"/>
  <c r="T198" i="6" s="1"/>
  <c r="J198" i="6"/>
  <c r="S197" i="6"/>
  <c r="T197" i="6" s="1"/>
  <c r="J197" i="6"/>
  <c r="S196" i="6"/>
  <c r="T196" i="6" s="1"/>
  <c r="J196" i="6"/>
  <c r="S195" i="6"/>
  <c r="T195" i="6" s="1"/>
  <c r="J195" i="6"/>
  <c r="S194" i="6"/>
  <c r="T194" i="6" s="1"/>
  <c r="J194" i="6"/>
  <c r="S193" i="6"/>
  <c r="T193" i="6" s="1"/>
  <c r="J193" i="6"/>
  <c r="S192" i="6"/>
  <c r="T192" i="6" s="1"/>
  <c r="J192" i="6"/>
  <c r="S191" i="6"/>
  <c r="T191" i="6" s="1"/>
  <c r="J191" i="6"/>
  <c r="S190" i="6"/>
  <c r="T190" i="6" s="1"/>
  <c r="J190" i="6"/>
  <c r="S189" i="6"/>
  <c r="T189" i="6" s="1"/>
  <c r="J189" i="6"/>
  <c r="S188" i="6"/>
  <c r="T188" i="6" s="1"/>
  <c r="J188" i="6"/>
  <c r="S187" i="6"/>
  <c r="T187" i="6" s="1"/>
  <c r="J187" i="6"/>
  <c r="S186" i="6"/>
  <c r="T186" i="6" s="1"/>
  <c r="J186" i="6"/>
  <c r="S185" i="6"/>
  <c r="T185" i="6" s="1"/>
  <c r="J185" i="6"/>
  <c r="S184" i="6"/>
  <c r="T184" i="6" s="1"/>
  <c r="J184" i="6"/>
  <c r="S183" i="6"/>
  <c r="T183" i="6" s="1"/>
  <c r="J183" i="6"/>
  <c r="S182" i="6"/>
  <c r="T182" i="6" s="1"/>
  <c r="J182" i="6"/>
  <c r="S181" i="6"/>
  <c r="T181" i="6" s="1"/>
  <c r="J181" i="6"/>
  <c r="S180" i="6"/>
  <c r="T180" i="6" s="1"/>
  <c r="J180" i="6"/>
  <c r="S179" i="6"/>
  <c r="T179" i="6" s="1"/>
  <c r="J179" i="6"/>
  <c r="S178" i="6"/>
  <c r="T178" i="6" s="1"/>
  <c r="J178" i="6"/>
  <c r="S177" i="6"/>
  <c r="T177" i="6" s="1"/>
  <c r="J177" i="6"/>
  <c r="S176" i="6"/>
  <c r="T176" i="6" s="1"/>
  <c r="J176" i="6"/>
  <c r="S175" i="6"/>
  <c r="T175" i="6" s="1"/>
  <c r="J175" i="6"/>
  <c r="S174" i="6"/>
  <c r="T174" i="6" s="1"/>
  <c r="J174" i="6"/>
  <c r="S173" i="6"/>
  <c r="T173" i="6" s="1"/>
  <c r="J173" i="6"/>
  <c r="J169" i="6"/>
  <c r="J166" i="6"/>
  <c r="J165" i="6"/>
  <c r="J162" i="6"/>
  <c r="J161" i="6"/>
  <c r="J160" i="6"/>
  <c r="J159" i="6"/>
  <c r="S156" i="6"/>
  <c r="T156" i="6" s="1"/>
  <c r="J156" i="6"/>
  <c r="S155" i="6"/>
  <c r="T155" i="6" s="1"/>
  <c r="J155" i="6"/>
  <c r="S154" i="6"/>
  <c r="T154" i="6" s="1"/>
  <c r="J154" i="6"/>
  <c r="S153" i="6"/>
  <c r="T153" i="6" s="1"/>
  <c r="J153" i="6"/>
  <c r="S152" i="6"/>
  <c r="T152" i="6" s="1"/>
  <c r="J152" i="6"/>
  <c r="S151" i="6"/>
  <c r="T151" i="6" s="1"/>
  <c r="J151" i="6"/>
  <c r="S150" i="6"/>
  <c r="T150" i="6" s="1"/>
  <c r="J150" i="6"/>
  <c r="S149" i="6"/>
  <c r="T149" i="6" s="1"/>
  <c r="J149" i="6"/>
  <c r="J148" i="6"/>
  <c r="J147" i="6"/>
  <c r="J146" i="6"/>
  <c r="J145" i="6"/>
  <c r="J144" i="6"/>
  <c r="J141" i="6"/>
  <c r="J140" i="6"/>
  <c r="J139" i="6"/>
  <c r="S138" i="6"/>
  <c r="T138" i="6" s="1"/>
  <c r="J138" i="6"/>
  <c r="S137" i="6"/>
  <c r="T137" i="6" s="1"/>
  <c r="J137" i="6"/>
  <c r="S136" i="6"/>
  <c r="T136" i="6" s="1"/>
  <c r="J136" i="6"/>
  <c r="J133" i="6"/>
  <c r="J132" i="6"/>
  <c r="J131" i="6"/>
  <c r="S130" i="6"/>
  <c r="T130" i="6" s="1"/>
  <c r="J130" i="6"/>
  <c r="S129" i="6"/>
  <c r="T129" i="6" s="1"/>
  <c r="J129" i="6"/>
  <c r="S128" i="6"/>
  <c r="T128" i="6" s="1"/>
  <c r="J128" i="6"/>
  <c r="J125" i="6"/>
  <c r="J124" i="6"/>
  <c r="J123" i="6"/>
  <c r="S122" i="6"/>
  <c r="T122" i="6" s="1"/>
  <c r="J122" i="6"/>
  <c r="S121" i="6"/>
  <c r="T121" i="6" s="1"/>
  <c r="J121" i="6"/>
  <c r="S120" i="6"/>
  <c r="T120" i="6" s="1"/>
  <c r="J120" i="6"/>
  <c r="J117" i="6"/>
  <c r="J116" i="6"/>
  <c r="J115" i="6"/>
  <c r="S114" i="6"/>
  <c r="T114" i="6" s="1"/>
  <c r="J114" i="6"/>
  <c r="S113" i="6"/>
  <c r="T113" i="6" s="1"/>
  <c r="J113" i="6"/>
  <c r="S112" i="6"/>
  <c r="T112" i="6" s="1"/>
  <c r="J112" i="6"/>
  <c r="S109" i="6"/>
  <c r="T109" i="6" s="1"/>
  <c r="J109" i="6"/>
  <c r="S108" i="6"/>
  <c r="T108" i="6" s="1"/>
  <c r="J108" i="6"/>
  <c r="S107" i="6"/>
  <c r="T107" i="6" s="1"/>
  <c r="J107" i="6"/>
  <c r="S106" i="6"/>
  <c r="T106" i="6" s="1"/>
  <c r="J106" i="6"/>
  <c r="S105" i="6"/>
  <c r="T105" i="6" s="1"/>
  <c r="J105" i="6"/>
  <c r="S104" i="6"/>
  <c r="T104" i="6" s="1"/>
  <c r="J104" i="6"/>
  <c r="S103" i="6"/>
  <c r="T103" i="6" s="1"/>
  <c r="J103" i="6"/>
  <c r="S102" i="6"/>
  <c r="T102" i="6" s="1"/>
  <c r="J102" i="6"/>
  <c r="S101" i="6"/>
  <c r="T101" i="6" s="1"/>
  <c r="J101" i="6"/>
  <c r="S100" i="6"/>
  <c r="T100" i="6" s="1"/>
  <c r="J100" i="6"/>
  <c r="S99" i="6"/>
  <c r="T99" i="6" s="1"/>
  <c r="J99" i="6"/>
  <c r="S98" i="6"/>
  <c r="T98" i="6" s="1"/>
  <c r="J98" i="6"/>
  <c r="S97" i="6"/>
  <c r="T97" i="6" s="1"/>
  <c r="J97" i="6"/>
  <c r="S96" i="6"/>
  <c r="T96" i="6" s="1"/>
  <c r="J96" i="6"/>
  <c r="S95" i="6"/>
  <c r="T95" i="6" s="1"/>
  <c r="J95" i="6"/>
  <c r="S94" i="6"/>
  <c r="T94" i="6" s="1"/>
  <c r="J94" i="6"/>
  <c r="S91" i="6"/>
  <c r="T91" i="6" s="1"/>
  <c r="J91" i="6"/>
  <c r="S90" i="6"/>
  <c r="T90" i="6" s="1"/>
  <c r="J90" i="6"/>
  <c r="S89" i="6"/>
  <c r="T89" i="6" s="1"/>
  <c r="J89" i="6"/>
  <c r="S88" i="6"/>
  <c r="T88" i="6" s="1"/>
  <c r="D88" i="6"/>
  <c r="J88" i="6" s="1"/>
  <c r="S87" i="6"/>
  <c r="J87" i="6"/>
  <c r="S86" i="6"/>
  <c r="D86" i="6"/>
  <c r="J86" i="6" s="1"/>
  <c r="S85" i="6"/>
  <c r="U85" i="6" s="1"/>
  <c r="J85" i="6"/>
  <c r="S84" i="6"/>
  <c r="U84" i="6" s="1"/>
  <c r="J84" i="6"/>
  <c r="D84" i="6"/>
  <c r="S83" i="6"/>
  <c r="T83" i="6" s="1"/>
  <c r="J83" i="6"/>
  <c r="S82" i="6"/>
  <c r="T82" i="6" s="1"/>
  <c r="D82" i="6"/>
  <c r="J82" i="6" s="1"/>
  <c r="S81" i="6"/>
  <c r="T81" i="6" s="1"/>
  <c r="J81" i="6"/>
  <c r="S80" i="6"/>
  <c r="T80" i="6" s="1"/>
  <c r="D80" i="6"/>
  <c r="J80" i="6" s="1"/>
  <c r="S79" i="6"/>
  <c r="J79" i="6"/>
  <c r="S78" i="6"/>
  <c r="D78" i="6"/>
  <c r="J78" i="6" s="1"/>
  <c r="S77" i="6"/>
  <c r="U77" i="6" s="1"/>
  <c r="J77" i="6"/>
  <c r="S76" i="6"/>
  <c r="U76" i="6" s="1"/>
  <c r="D76" i="6"/>
  <c r="J76" i="6" s="1"/>
  <c r="S73" i="6"/>
  <c r="T73" i="6" s="1"/>
  <c r="J73" i="6"/>
  <c r="S72" i="6"/>
  <c r="T72" i="6" s="1"/>
  <c r="D72" i="6"/>
  <c r="J72" i="6" s="1"/>
  <c r="S71" i="6"/>
  <c r="T71" i="6" s="1"/>
  <c r="J71" i="6"/>
  <c r="S70" i="6"/>
  <c r="T70" i="6" s="1"/>
  <c r="D70" i="6"/>
  <c r="J70" i="6" s="1"/>
  <c r="S69" i="6"/>
  <c r="D69" i="6"/>
  <c r="J69" i="6" s="1"/>
  <c r="S68" i="6"/>
  <c r="U68" i="6" s="1"/>
  <c r="D68" i="6"/>
  <c r="J68" i="6" s="1"/>
  <c r="S67" i="6"/>
  <c r="U67" i="6" s="1"/>
  <c r="D67" i="6"/>
  <c r="J67" i="6" s="1"/>
  <c r="S66" i="6"/>
  <c r="U66" i="6" s="1"/>
  <c r="D66" i="6"/>
  <c r="J66" i="6" s="1"/>
  <c r="S65" i="6"/>
  <c r="D65" i="6"/>
  <c r="J65" i="6" s="1"/>
  <c r="S64" i="6"/>
  <c r="U64" i="6" s="1"/>
  <c r="D64" i="6"/>
  <c r="J64" i="6" s="1"/>
  <c r="S63" i="6"/>
  <c r="U63" i="6" s="1"/>
  <c r="D63" i="6"/>
  <c r="J63" i="6" s="1"/>
  <c r="S62" i="6"/>
  <c r="U62" i="6" s="1"/>
  <c r="D62" i="6"/>
  <c r="J62" i="6" s="1"/>
  <c r="S61" i="6"/>
  <c r="D61" i="6"/>
  <c r="J61" i="6" s="1"/>
  <c r="S60" i="6"/>
  <c r="U60" i="6" s="1"/>
  <c r="D60" i="6"/>
  <c r="J60" i="6" s="1"/>
  <c r="S59" i="6"/>
  <c r="U59" i="6" s="1"/>
  <c r="D59" i="6"/>
  <c r="J59" i="6" s="1"/>
  <c r="S58" i="6"/>
  <c r="U58" i="6" s="1"/>
  <c r="D58" i="6"/>
  <c r="J58" i="6" s="1"/>
  <c r="S55" i="6"/>
  <c r="T55" i="6" s="1"/>
  <c r="J55" i="6"/>
  <c r="S54" i="6"/>
  <c r="T54" i="6" s="1"/>
  <c r="J54" i="6"/>
  <c r="S53" i="6"/>
  <c r="T53" i="6" s="1"/>
  <c r="D53" i="6"/>
  <c r="J53" i="6" s="1"/>
  <c r="S52" i="6"/>
  <c r="U52" i="6" s="1"/>
  <c r="D52" i="6"/>
  <c r="J52" i="6" s="1"/>
  <c r="S51" i="6"/>
  <c r="T51" i="6" s="1"/>
  <c r="D51" i="6"/>
  <c r="J51" i="6" s="1"/>
  <c r="S50" i="6"/>
  <c r="T50" i="6" s="1"/>
  <c r="D50" i="6"/>
  <c r="J50" i="6" s="1"/>
  <c r="S49" i="6"/>
  <c r="T49" i="6" s="1"/>
  <c r="D49" i="6"/>
  <c r="J49" i="6" s="1"/>
  <c r="S48" i="6"/>
  <c r="U48" i="6" s="1"/>
  <c r="D48" i="6"/>
  <c r="J48" i="6" s="1"/>
  <c r="S47" i="6"/>
  <c r="U47" i="6" s="1"/>
  <c r="J47" i="6"/>
  <c r="S46" i="6"/>
  <c r="U46" i="6" s="1"/>
  <c r="J46" i="6"/>
  <c r="S45" i="6"/>
  <c r="U45" i="6" s="1"/>
  <c r="D45" i="6"/>
  <c r="J45" i="6" s="1"/>
  <c r="S44" i="6"/>
  <c r="U44" i="6" s="1"/>
  <c r="D44" i="6"/>
  <c r="J44" i="6" s="1"/>
  <c r="S43" i="6"/>
  <c r="T43" i="6" s="1"/>
  <c r="D43" i="6"/>
  <c r="J43" i="6" s="1"/>
  <c r="S42" i="6"/>
  <c r="U42" i="6" s="1"/>
  <c r="D42" i="6"/>
  <c r="J42" i="6" s="1"/>
  <c r="S41" i="6"/>
  <c r="U41" i="6" s="1"/>
  <c r="D41" i="6"/>
  <c r="J41" i="6" s="1"/>
  <c r="S40" i="6"/>
  <c r="U40" i="6" s="1"/>
  <c r="D40" i="6"/>
  <c r="J40" i="6" s="1"/>
  <c r="S37" i="6"/>
  <c r="T37" i="6" s="1"/>
  <c r="J37" i="6"/>
  <c r="S36" i="6"/>
  <c r="T36" i="6" s="1"/>
  <c r="J36" i="6"/>
  <c r="S35" i="6"/>
  <c r="T35" i="6" s="1"/>
  <c r="J35" i="6"/>
  <c r="S34" i="6"/>
  <c r="T34" i="6" s="1"/>
  <c r="J34" i="6"/>
  <c r="S33" i="6"/>
  <c r="T33" i="6" s="1"/>
  <c r="D33" i="6"/>
  <c r="J33" i="6" s="1"/>
  <c r="S32" i="6"/>
  <c r="U32" i="6" s="1"/>
  <c r="D32" i="6"/>
  <c r="J32" i="6" s="1"/>
  <c r="S31" i="6"/>
  <c r="U31" i="6" s="1"/>
  <c r="D31" i="6"/>
  <c r="J31" i="6" s="1"/>
  <c r="S30" i="6"/>
  <c r="U30" i="6" s="1"/>
  <c r="J30" i="6"/>
  <c r="D30" i="6"/>
  <c r="S29" i="6"/>
  <c r="T29" i="6" s="1"/>
  <c r="D29" i="6"/>
  <c r="J29" i="6" s="1"/>
  <c r="S28" i="6"/>
  <c r="U28" i="6" s="1"/>
  <c r="D28" i="6"/>
  <c r="J28" i="6" s="1"/>
  <c r="S27" i="6"/>
  <c r="U27" i="6" s="1"/>
  <c r="D27" i="6"/>
  <c r="J27" i="6" s="1"/>
  <c r="S26" i="6"/>
  <c r="U26" i="6" s="1"/>
  <c r="D26" i="6"/>
  <c r="J26" i="6" s="1"/>
  <c r="S25" i="6"/>
  <c r="T25" i="6" s="1"/>
  <c r="D25" i="6"/>
  <c r="J25" i="6" s="1"/>
  <c r="S24" i="6"/>
  <c r="U24" i="6" s="1"/>
  <c r="D24" i="6"/>
  <c r="J24" i="6" s="1"/>
  <c r="S23" i="6"/>
  <c r="U23" i="6" s="1"/>
  <c r="D23" i="6"/>
  <c r="J23" i="6" s="1"/>
  <c r="S22" i="6"/>
  <c r="T22" i="6" s="1"/>
  <c r="D22" i="6"/>
  <c r="J22" i="6" s="1"/>
  <c r="S19" i="6"/>
  <c r="T19" i="6" s="1"/>
  <c r="J19" i="6"/>
  <c r="S18" i="6"/>
  <c r="T18" i="6" s="1"/>
  <c r="J18" i="6"/>
  <c r="S17" i="6"/>
  <c r="T17" i="6" s="1"/>
  <c r="D17" i="6"/>
  <c r="J17" i="6" s="1"/>
  <c r="S16" i="6"/>
  <c r="U16" i="6" s="1"/>
  <c r="D16" i="6"/>
  <c r="J16" i="6" s="1"/>
  <c r="S15" i="6"/>
  <c r="U15" i="6" s="1"/>
  <c r="D15" i="6"/>
  <c r="J15" i="6" s="1"/>
  <c r="S14" i="6"/>
  <c r="U14" i="6" s="1"/>
  <c r="D14" i="6"/>
  <c r="J14" i="6" s="1"/>
  <c r="S13" i="6"/>
  <c r="T13" i="6" s="1"/>
  <c r="D13" i="6"/>
  <c r="J13" i="6" s="1"/>
  <c r="S12" i="6"/>
  <c r="U12" i="6" s="1"/>
  <c r="D12" i="6"/>
  <c r="J12" i="6" s="1"/>
  <c r="S11" i="6"/>
  <c r="U11" i="6" s="1"/>
  <c r="D11" i="6"/>
  <c r="J11" i="6" s="1"/>
  <c r="S10" i="6"/>
  <c r="U10" i="6" s="1"/>
  <c r="D10" i="6"/>
  <c r="J10" i="6" s="1"/>
  <c r="S9" i="6"/>
  <c r="T9" i="6" s="1"/>
  <c r="D9" i="6"/>
  <c r="J9" i="6" s="1"/>
  <c r="S8" i="6"/>
  <c r="U8" i="6" s="1"/>
  <c r="D8" i="6"/>
  <c r="J8" i="6" s="1"/>
  <c r="S7" i="6"/>
  <c r="U7" i="6" s="1"/>
  <c r="D7" i="6"/>
  <c r="J7" i="6" s="1"/>
  <c r="S6" i="6"/>
  <c r="T6" i="6" s="1"/>
  <c r="D6" i="6"/>
  <c r="J6" i="6" s="1"/>
  <c r="S5" i="6"/>
  <c r="T5" i="6" s="1"/>
  <c r="D5" i="6"/>
  <c r="J5" i="6" s="1"/>
  <c r="S4" i="6"/>
  <c r="U4" i="6" s="1"/>
  <c r="D4" i="6"/>
  <c r="J4" i="6" s="1"/>
  <c r="J318" i="75" l="1"/>
  <c r="K319" i="75"/>
  <c r="J283" i="75"/>
  <c r="K284" i="75"/>
  <c r="J148" i="75"/>
  <c r="K149" i="75"/>
  <c r="J105" i="75"/>
  <c r="K106" i="75"/>
  <c r="K30" i="2"/>
  <c r="J29" i="2"/>
  <c r="J246" i="2"/>
  <c r="N247" i="2"/>
  <c r="K153" i="2"/>
  <c r="J153" i="2" s="1"/>
  <c r="J152" i="2"/>
  <c r="N31" i="2"/>
  <c r="N13" i="2"/>
  <c r="U17" i="6"/>
  <c r="U73" i="6"/>
  <c r="U88" i="6"/>
  <c r="U33" i="6"/>
  <c r="U81" i="6"/>
  <c r="U29" i="6"/>
  <c r="T30" i="6"/>
  <c r="U37" i="6"/>
  <c r="T40" i="6"/>
  <c r="U71" i="6"/>
  <c r="U83" i="6"/>
  <c r="T84" i="6"/>
  <c r="U13" i="6"/>
  <c r="T14" i="6"/>
  <c r="T62" i="6"/>
  <c r="U72" i="6"/>
  <c r="U90" i="6"/>
  <c r="U6" i="6"/>
  <c r="U22" i="6"/>
  <c r="U50" i="6"/>
  <c r="U70" i="6"/>
  <c r="T46" i="6"/>
  <c r="U55" i="6"/>
  <c r="T58" i="6"/>
  <c r="T59" i="6"/>
  <c r="T63" i="6"/>
  <c r="U82" i="6"/>
  <c r="U89" i="6"/>
  <c r="U5" i="6"/>
  <c r="U9" i="6"/>
  <c r="T10" i="6"/>
  <c r="U19" i="6"/>
  <c r="U25" i="6"/>
  <c r="T26" i="6"/>
  <c r="U35" i="6"/>
  <c r="U80" i="6"/>
  <c r="U91" i="6"/>
  <c r="T4" i="6"/>
  <c r="T12" i="6"/>
  <c r="U18" i="6"/>
  <c r="T28" i="6"/>
  <c r="U34" i="6"/>
  <c r="T42" i="6"/>
  <c r="U43" i="6"/>
  <c r="T44" i="6"/>
  <c r="T45" i="6"/>
  <c r="T66" i="6"/>
  <c r="T67" i="6"/>
  <c r="T8" i="6"/>
  <c r="T16" i="6"/>
  <c r="T24" i="6"/>
  <c r="T32" i="6"/>
  <c r="U36" i="6"/>
  <c r="T47" i="6"/>
  <c r="U51" i="6"/>
  <c r="T52" i="6"/>
  <c r="U53" i="6"/>
  <c r="T77" i="6"/>
  <c r="T7" i="6"/>
  <c r="T11" i="6"/>
  <c r="T15" i="6"/>
  <c r="T23" i="6"/>
  <c r="T27" i="6"/>
  <c r="T31" i="6"/>
  <c r="T41" i="6"/>
  <c r="U78" i="6"/>
  <c r="T78" i="6"/>
  <c r="U61" i="6"/>
  <c r="T61" i="6"/>
  <c r="U65" i="6"/>
  <c r="T65" i="6"/>
  <c r="U69" i="6"/>
  <c r="T69" i="6"/>
  <c r="U86" i="6"/>
  <c r="T86" i="6"/>
  <c r="T48" i="6"/>
  <c r="U49" i="6"/>
  <c r="U54" i="6"/>
  <c r="T60" i="6"/>
  <c r="T64" i="6"/>
  <c r="T68" i="6"/>
  <c r="T76" i="6"/>
  <c r="U79" i="6"/>
  <c r="T79" i="6"/>
  <c r="T85" i="6"/>
  <c r="U87" i="6"/>
  <c r="T87" i="6"/>
  <c r="S400" i="2"/>
  <c r="T400" i="2" s="1"/>
  <c r="S397" i="2"/>
  <c r="T397" i="2" s="1"/>
  <c r="S396" i="2"/>
  <c r="T396" i="2" s="1"/>
  <c r="S395" i="2"/>
  <c r="T395" i="2" s="1"/>
  <c r="S394" i="2"/>
  <c r="T394" i="2" s="1"/>
  <c r="S393" i="2"/>
  <c r="T393" i="2" s="1"/>
  <c r="S392" i="2"/>
  <c r="T392" i="2" s="1"/>
  <c r="S391" i="2"/>
  <c r="T391" i="2" s="1"/>
  <c r="S390" i="2"/>
  <c r="T390" i="2" s="1"/>
  <c r="S389" i="2"/>
  <c r="T389" i="2" s="1"/>
  <c r="S388" i="2"/>
  <c r="T388" i="2" s="1"/>
  <c r="S387" i="2"/>
  <c r="T387" i="2" s="1"/>
  <c r="S386" i="2"/>
  <c r="T386" i="2" s="1"/>
  <c r="S385" i="2"/>
  <c r="T385" i="2" s="1"/>
  <c r="S358" i="2"/>
  <c r="T358" i="2" s="1"/>
  <c r="S357" i="2"/>
  <c r="T357" i="2" s="1"/>
  <c r="S356" i="2"/>
  <c r="T356" i="2" s="1"/>
  <c r="S355" i="2"/>
  <c r="T355" i="2" s="1"/>
  <c r="S354" i="2"/>
  <c r="T354" i="2" s="1"/>
  <c r="S353" i="2"/>
  <c r="T353" i="2" s="1"/>
  <c r="S352" i="2"/>
  <c r="T352" i="2" s="1"/>
  <c r="S344" i="2"/>
  <c r="T344" i="2" s="1"/>
  <c r="S343" i="2"/>
  <c r="T343" i="2" s="1"/>
  <c r="S342" i="2"/>
  <c r="T342" i="2" s="1"/>
  <c r="S341" i="2"/>
  <c r="T341" i="2" s="1"/>
  <c r="S340" i="2"/>
  <c r="T340" i="2" s="1"/>
  <c r="S339" i="2"/>
  <c r="T339" i="2" s="1"/>
  <c r="S338" i="2"/>
  <c r="T338" i="2" s="1"/>
  <c r="S337" i="2"/>
  <c r="T337" i="2" s="1"/>
  <c r="S336" i="2"/>
  <c r="T336" i="2" s="1"/>
  <c r="S335" i="2"/>
  <c r="T335" i="2" s="1"/>
  <c r="S334" i="2"/>
  <c r="T334" i="2" s="1"/>
  <c r="S333" i="2"/>
  <c r="T333" i="2" s="1"/>
  <c r="S332" i="2"/>
  <c r="T332" i="2" s="1"/>
  <c r="S331" i="2"/>
  <c r="T331" i="2" s="1"/>
  <c r="S330" i="2"/>
  <c r="T330" i="2" s="1"/>
  <c r="S329" i="2"/>
  <c r="T329" i="2" s="1"/>
  <c r="S328" i="2"/>
  <c r="T328" i="2" s="1"/>
  <c r="S327" i="2"/>
  <c r="T327" i="2" s="1"/>
  <c r="S326" i="2"/>
  <c r="T326" i="2" s="1"/>
  <c r="S325" i="2"/>
  <c r="T325" i="2" s="1"/>
  <c r="S324" i="2"/>
  <c r="T324" i="2" s="1"/>
  <c r="S323" i="2"/>
  <c r="T323" i="2" s="1"/>
  <c r="S322" i="2"/>
  <c r="T322" i="2" s="1"/>
  <c r="S321" i="2"/>
  <c r="T321" i="2" s="1"/>
  <c r="S320" i="2"/>
  <c r="T320" i="2" s="1"/>
  <c r="S319" i="2"/>
  <c r="T319" i="2" s="1"/>
  <c r="S318" i="2"/>
  <c r="T318" i="2" s="1"/>
  <c r="S317" i="2"/>
  <c r="T317" i="2" s="1"/>
  <c r="S316" i="2"/>
  <c r="T316" i="2" s="1"/>
  <c r="S315" i="2"/>
  <c r="T315" i="2" s="1"/>
  <c r="S314" i="2"/>
  <c r="T314" i="2" s="1"/>
  <c r="S313" i="2"/>
  <c r="T313" i="2" s="1"/>
  <c r="S312" i="2"/>
  <c r="T312" i="2" s="1"/>
  <c r="S311" i="2"/>
  <c r="T311" i="2" s="1"/>
  <c r="S310" i="2"/>
  <c r="T310" i="2" s="1"/>
  <c r="S309" i="2"/>
  <c r="T309" i="2" s="1"/>
  <c r="S308" i="2"/>
  <c r="T308" i="2" s="1"/>
  <c r="S307" i="2"/>
  <c r="T307" i="2" s="1"/>
  <c r="S306" i="2"/>
  <c r="T306" i="2" s="1"/>
  <c r="S305" i="2"/>
  <c r="T305" i="2" s="1"/>
  <c r="S304" i="2"/>
  <c r="T304" i="2" s="1"/>
  <c r="S303" i="2"/>
  <c r="T303" i="2" s="1"/>
  <c r="S302" i="2"/>
  <c r="T302" i="2" s="1"/>
  <c r="S301" i="2"/>
  <c r="T301" i="2" s="1"/>
  <c r="S300" i="2"/>
  <c r="T300" i="2" s="1"/>
  <c r="S299" i="2"/>
  <c r="T299" i="2" s="1"/>
  <c r="S298" i="2"/>
  <c r="T298" i="2" s="1"/>
  <c r="S297" i="2"/>
  <c r="T297" i="2" s="1"/>
  <c r="S296" i="2"/>
  <c r="T296" i="2" s="1"/>
  <c r="S295" i="2"/>
  <c r="T295" i="2" s="1"/>
  <c r="S287" i="2"/>
  <c r="T287" i="2" s="1"/>
  <c r="S286" i="2"/>
  <c r="T286" i="2" s="1"/>
  <c r="S285" i="2"/>
  <c r="T285" i="2" s="1"/>
  <c r="S284" i="2"/>
  <c r="T284" i="2" s="1"/>
  <c r="S283" i="2"/>
  <c r="T283" i="2" s="1"/>
  <c r="S282" i="2"/>
  <c r="T282" i="2" s="1"/>
  <c r="S281" i="2"/>
  <c r="T281" i="2" s="1"/>
  <c r="S280" i="2"/>
  <c r="T280" i="2" s="1"/>
  <c r="S279" i="2"/>
  <c r="T279" i="2" s="1"/>
  <c r="S278" i="2"/>
  <c r="T278" i="2" s="1"/>
  <c r="S277" i="2"/>
  <c r="T277" i="2" s="1"/>
  <c r="S276" i="2"/>
  <c r="T276" i="2" s="1"/>
  <c r="S275" i="2"/>
  <c r="T275" i="2" s="1"/>
  <c r="S274" i="2"/>
  <c r="T274" i="2" s="1"/>
  <c r="S273" i="2"/>
  <c r="T273" i="2" s="1"/>
  <c r="S272" i="2"/>
  <c r="T272" i="2" s="1"/>
  <c r="S271" i="2"/>
  <c r="T271" i="2" s="1"/>
  <c r="S270" i="2"/>
  <c r="T270" i="2" s="1"/>
  <c r="S269" i="2"/>
  <c r="T269" i="2" s="1"/>
  <c r="S268" i="2"/>
  <c r="T268" i="2" s="1"/>
  <c r="S267" i="2"/>
  <c r="T267" i="2" s="1"/>
  <c r="S266" i="2"/>
  <c r="T266" i="2" s="1"/>
  <c r="S265" i="2"/>
  <c r="T265" i="2" s="1"/>
  <c r="S264" i="2"/>
  <c r="T264" i="2" s="1"/>
  <c r="S263" i="2"/>
  <c r="T263" i="2" s="1"/>
  <c r="S262" i="2"/>
  <c r="T262" i="2" s="1"/>
  <c r="S261" i="2"/>
  <c r="T261" i="2" s="1"/>
  <c r="S260" i="2"/>
  <c r="T260" i="2" s="1"/>
  <c r="S259" i="2"/>
  <c r="T259" i="2" s="1"/>
  <c r="S258" i="2"/>
  <c r="T258" i="2" s="1"/>
  <c r="S257" i="2"/>
  <c r="T257" i="2" s="1"/>
  <c r="S256" i="2"/>
  <c r="T256" i="2" s="1"/>
  <c r="S255" i="2"/>
  <c r="T255" i="2" s="1"/>
  <c r="S254" i="2"/>
  <c r="T254" i="2" s="1"/>
  <c r="S253" i="2"/>
  <c r="T253" i="2" s="1"/>
  <c r="S252" i="2"/>
  <c r="T252" i="2" s="1"/>
  <c r="S251" i="2"/>
  <c r="T251" i="2" s="1"/>
  <c r="S250" i="2"/>
  <c r="T250" i="2" s="1"/>
  <c r="S249" i="2"/>
  <c r="T249" i="2" s="1"/>
  <c r="S248" i="2"/>
  <c r="T248" i="2" s="1"/>
  <c r="S247" i="2"/>
  <c r="T247" i="2" s="1"/>
  <c r="S246" i="2"/>
  <c r="T246" i="2" s="1"/>
  <c r="S245" i="2"/>
  <c r="T245" i="2" s="1"/>
  <c r="S244" i="2"/>
  <c r="T244" i="2" s="1"/>
  <c r="S243" i="2"/>
  <c r="T243" i="2" s="1"/>
  <c r="S242" i="2"/>
  <c r="T242" i="2" s="1"/>
  <c r="S241" i="2"/>
  <c r="T241" i="2" s="1"/>
  <c r="S240" i="2"/>
  <c r="T240" i="2" s="1"/>
  <c r="S239" i="2"/>
  <c r="T239" i="2" s="1"/>
  <c r="S238" i="2"/>
  <c r="T238" i="2" s="1"/>
  <c r="S192" i="2"/>
  <c r="T192" i="2" s="1"/>
  <c r="S191" i="2"/>
  <c r="T191" i="2" s="1"/>
  <c r="S190" i="2"/>
  <c r="T190" i="2" s="1"/>
  <c r="S189" i="2"/>
  <c r="T189" i="2" s="1"/>
  <c r="S188" i="2"/>
  <c r="T188" i="2" s="1"/>
  <c r="S187" i="2"/>
  <c r="T187" i="2" s="1"/>
  <c r="S186" i="2"/>
  <c r="T186" i="2" s="1"/>
  <c r="S185" i="2"/>
  <c r="T185" i="2" s="1"/>
  <c r="S174" i="2"/>
  <c r="T174" i="2" s="1"/>
  <c r="S173" i="2"/>
  <c r="T173" i="2" s="1"/>
  <c r="S172" i="2"/>
  <c r="T172" i="2" s="1"/>
  <c r="S166" i="2"/>
  <c r="T166" i="2" s="1"/>
  <c r="S165" i="2"/>
  <c r="T165" i="2" s="1"/>
  <c r="S164" i="2"/>
  <c r="T164" i="2" s="1"/>
  <c r="S158" i="2"/>
  <c r="T158" i="2" s="1"/>
  <c r="S157" i="2"/>
  <c r="T157" i="2" s="1"/>
  <c r="S156" i="2"/>
  <c r="T156" i="2" s="1"/>
  <c r="S148" i="2"/>
  <c r="T148" i="2" s="1"/>
  <c r="S147" i="2"/>
  <c r="T147" i="2" s="1"/>
  <c r="S146" i="2"/>
  <c r="T146" i="2" s="1"/>
  <c r="S143" i="2"/>
  <c r="T143" i="2" s="1"/>
  <c r="S142" i="2"/>
  <c r="T142" i="2" s="1"/>
  <c r="S141" i="2"/>
  <c r="T141" i="2" s="1"/>
  <c r="S140" i="2"/>
  <c r="T140" i="2" s="1"/>
  <c r="S139" i="2"/>
  <c r="T139" i="2" s="1"/>
  <c r="S138" i="2"/>
  <c r="T138" i="2" s="1"/>
  <c r="S137" i="2"/>
  <c r="T137" i="2" s="1"/>
  <c r="S136" i="2"/>
  <c r="T136" i="2" s="1"/>
  <c r="S135" i="2"/>
  <c r="T135" i="2" s="1"/>
  <c r="S134" i="2"/>
  <c r="T134" i="2" s="1"/>
  <c r="S133" i="2"/>
  <c r="T133" i="2" s="1"/>
  <c r="S132" i="2"/>
  <c r="T132" i="2" s="1"/>
  <c r="S131" i="2"/>
  <c r="T131" i="2" s="1"/>
  <c r="S130" i="2"/>
  <c r="T130" i="2" s="1"/>
  <c r="S129" i="2"/>
  <c r="T129" i="2" s="1"/>
  <c r="S128" i="2"/>
  <c r="T128" i="2" s="1"/>
  <c r="S125" i="2"/>
  <c r="T125" i="2" s="1"/>
  <c r="S124" i="2"/>
  <c r="T124" i="2" s="1"/>
  <c r="S123" i="2"/>
  <c r="U123" i="2" s="1"/>
  <c r="S122" i="2"/>
  <c r="T122" i="2" s="1"/>
  <c r="S121" i="2"/>
  <c r="T121" i="2" s="1"/>
  <c r="S120" i="2"/>
  <c r="T120" i="2" s="1"/>
  <c r="S119" i="2"/>
  <c r="T119" i="2" s="1"/>
  <c r="S118" i="2"/>
  <c r="T118" i="2" s="1"/>
  <c r="S117" i="2"/>
  <c r="T117" i="2" s="1"/>
  <c r="S116" i="2"/>
  <c r="T116" i="2" s="1"/>
  <c r="S115" i="2"/>
  <c r="U115" i="2" s="1"/>
  <c r="S114" i="2"/>
  <c r="U114" i="2" s="1"/>
  <c r="S113" i="2"/>
  <c r="U113" i="2" s="1"/>
  <c r="S112" i="2"/>
  <c r="T112" i="2" s="1"/>
  <c r="S111" i="2"/>
  <c r="T111" i="2" s="1"/>
  <c r="S110" i="2"/>
  <c r="T110" i="2" s="1"/>
  <c r="S107" i="2"/>
  <c r="U107" i="2" s="1"/>
  <c r="S106" i="2"/>
  <c r="U106" i="2" s="1"/>
  <c r="S105" i="2"/>
  <c r="T105" i="2" s="1"/>
  <c r="S104" i="2"/>
  <c r="T104" i="2" s="1"/>
  <c r="S103" i="2"/>
  <c r="T103" i="2" s="1"/>
  <c r="S102" i="2"/>
  <c r="T102" i="2" s="1"/>
  <c r="S101" i="2"/>
  <c r="T101" i="2" s="1"/>
  <c r="S100" i="2"/>
  <c r="U100" i="2" s="1"/>
  <c r="S99" i="2"/>
  <c r="U99" i="2" s="1"/>
  <c r="S98" i="2"/>
  <c r="U98" i="2" s="1"/>
  <c r="S97" i="2"/>
  <c r="U97" i="2" s="1"/>
  <c r="S96" i="2"/>
  <c r="U96" i="2" s="1"/>
  <c r="S95" i="2"/>
  <c r="T95" i="2" s="1"/>
  <c r="S94" i="2"/>
  <c r="T94" i="2" s="1"/>
  <c r="S93" i="2"/>
  <c r="T93" i="2" s="1"/>
  <c r="S92" i="2"/>
  <c r="T92" i="2" s="1"/>
  <c r="S89" i="2"/>
  <c r="T89" i="2" s="1"/>
  <c r="S88" i="2"/>
  <c r="U88" i="2" s="1"/>
  <c r="S87" i="2"/>
  <c r="T87" i="2" s="1"/>
  <c r="S86" i="2"/>
  <c r="U86" i="2" s="1"/>
  <c r="S85" i="2"/>
  <c r="T85" i="2" s="1"/>
  <c r="S84" i="2"/>
  <c r="T84" i="2" s="1"/>
  <c r="S83" i="2"/>
  <c r="T83" i="2" s="1"/>
  <c r="S82" i="2"/>
  <c r="T82" i="2" s="1"/>
  <c r="S81" i="2"/>
  <c r="T81" i="2" s="1"/>
  <c r="S80" i="2"/>
  <c r="U80" i="2" s="1"/>
  <c r="S79" i="2"/>
  <c r="T79" i="2" s="1"/>
  <c r="S78" i="2"/>
  <c r="U78" i="2" s="1"/>
  <c r="S77" i="2"/>
  <c r="T77" i="2" s="1"/>
  <c r="S76" i="2"/>
  <c r="U76" i="2" s="1"/>
  <c r="S75" i="2"/>
  <c r="T75" i="2" s="1"/>
  <c r="S74" i="2"/>
  <c r="T74" i="2" s="1"/>
  <c r="S5" i="2"/>
  <c r="U5" i="2" s="1"/>
  <c r="S6" i="2"/>
  <c r="T6" i="2" s="1"/>
  <c r="S7" i="2"/>
  <c r="U7" i="2" s="1"/>
  <c r="S8" i="2"/>
  <c r="U8" i="2" s="1"/>
  <c r="S9" i="2"/>
  <c r="U9" i="2" s="1"/>
  <c r="S10" i="2"/>
  <c r="T10" i="2" s="1"/>
  <c r="S11" i="2"/>
  <c r="U11" i="2" s="1"/>
  <c r="S12" i="2"/>
  <c r="T12" i="2" s="1"/>
  <c r="S13" i="2"/>
  <c r="U13" i="2" s="1"/>
  <c r="S14" i="2"/>
  <c r="T14" i="2" s="1"/>
  <c r="S15" i="2"/>
  <c r="U15" i="2" s="1"/>
  <c r="S16" i="2"/>
  <c r="U16" i="2" s="1"/>
  <c r="S17" i="2"/>
  <c r="U17" i="2" s="1"/>
  <c r="S18" i="2"/>
  <c r="T18" i="2" s="1"/>
  <c r="S19" i="2"/>
  <c r="U19" i="2" s="1"/>
  <c r="S4" i="2"/>
  <c r="U4" i="2" s="1"/>
  <c r="K320" i="75" l="1"/>
  <c r="J319" i="75"/>
  <c r="K285" i="75"/>
  <c r="J284" i="75"/>
  <c r="K150" i="75"/>
  <c r="J149" i="75"/>
  <c r="K107" i="75"/>
  <c r="J106" i="75"/>
  <c r="K31" i="2"/>
  <c r="J30" i="2"/>
  <c r="N248" i="2"/>
  <c r="J247" i="2"/>
  <c r="N32" i="2"/>
  <c r="N14" i="2"/>
  <c r="T98" i="2"/>
  <c r="T19" i="2"/>
  <c r="T86" i="2"/>
  <c r="T4" i="2"/>
  <c r="T76" i="2"/>
  <c r="T96" i="2"/>
  <c r="T15" i="2"/>
  <c r="T100" i="2"/>
  <c r="T11" i="2"/>
  <c r="T97" i="2"/>
  <c r="T99" i="2"/>
  <c r="T123" i="2"/>
  <c r="T7" i="2"/>
  <c r="T80" i="2"/>
  <c r="U12" i="2"/>
  <c r="U74" i="2"/>
  <c r="U82" i="2"/>
  <c r="U92" i="2"/>
  <c r="U110" i="2"/>
  <c r="U118" i="2"/>
  <c r="T17" i="2"/>
  <c r="T13" i="2"/>
  <c r="T9" i="2"/>
  <c r="T5" i="2"/>
  <c r="T88" i="2"/>
  <c r="T106" i="2"/>
  <c r="T113" i="2"/>
  <c r="U75" i="2"/>
  <c r="U83" i="2"/>
  <c r="U93" i="2"/>
  <c r="U101" i="2"/>
  <c r="U111" i="2"/>
  <c r="U119" i="2"/>
  <c r="U18" i="2"/>
  <c r="U10" i="2"/>
  <c r="U84" i="2"/>
  <c r="U94" i="2"/>
  <c r="U102" i="2"/>
  <c r="U112" i="2"/>
  <c r="U120" i="2"/>
  <c r="T16" i="2"/>
  <c r="T8" i="2"/>
  <c r="T78" i="2"/>
  <c r="T107" i="2"/>
  <c r="T114" i="2"/>
  <c r="U77" i="2"/>
  <c r="U85" i="2"/>
  <c r="U95" i="2"/>
  <c r="U103" i="2"/>
  <c r="U121" i="2"/>
  <c r="U104" i="2"/>
  <c r="U122" i="2"/>
  <c r="T115" i="2"/>
  <c r="U79" i="2"/>
  <c r="U87" i="2"/>
  <c r="U105" i="2"/>
  <c r="U14" i="2"/>
  <c r="U6" i="2"/>
  <c r="U116" i="2"/>
  <c r="U124" i="2"/>
  <c r="U81" i="2"/>
  <c r="U89" i="2"/>
  <c r="U117" i="2"/>
  <c r="U125" i="2"/>
  <c r="J400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295" i="2"/>
  <c r="J288" i="2"/>
  <c r="J289" i="2"/>
  <c r="J290" i="2"/>
  <c r="J291" i="2"/>
  <c r="J292" i="2"/>
  <c r="J231" i="2"/>
  <c r="J230" i="2"/>
  <c r="J173" i="2"/>
  <c r="J174" i="2"/>
  <c r="J175" i="2"/>
  <c r="J176" i="2"/>
  <c r="J177" i="2"/>
  <c r="J172" i="2"/>
  <c r="J165" i="2"/>
  <c r="J166" i="2"/>
  <c r="J167" i="2"/>
  <c r="J168" i="2"/>
  <c r="J169" i="2"/>
  <c r="J164" i="2"/>
  <c r="J157" i="2"/>
  <c r="J158" i="2"/>
  <c r="J159" i="2"/>
  <c r="J160" i="2"/>
  <c r="J161" i="2"/>
  <c r="J156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29" i="2"/>
  <c r="J130" i="2"/>
  <c r="J128" i="2"/>
  <c r="J111" i="2"/>
  <c r="J113" i="2"/>
  <c r="J115" i="2"/>
  <c r="J117" i="2"/>
  <c r="J119" i="2"/>
  <c r="J121" i="2"/>
  <c r="J123" i="2"/>
  <c r="J124" i="2"/>
  <c r="J125" i="2"/>
  <c r="J105" i="2"/>
  <c r="J107" i="2"/>
  <c r="J80" i="2"/>
  <c r="J81" i="2"/>
  <c r="J88" i="2"/>
  <c r="J89" i="2"/>
  <c r="D353" i="2"/>
  <c r="J353" i="2" s="1"/>
  <c r="D354" i="2"/>
  <c r="J354" i="2" s="1"/>
  <c r="D355" i="2"/>
  <c r="J355" i="2" s="1"/>
  <c r="D356" i="2"/>
  <c r="J356" i="2" s="1"/>
  <c r="D357" i="2"/>
  <c r="J357" i="2" s="1"/>
  <c r="D358" i="2"/>
  <c r="J358" i="2" s="1"/>
  <c r="D386" i="2"/>
  <c r="J386" i="2" s="1"/>
  <c r="D387" i="2"/>
  <c r="J387" i="2" s="1"/>
  <c r="D388" i="2"/>
  <c r="J388" i="2" s="1"/>
  <c r="D389" i="2"/>
  <c r="J389" i="2" s="1"/>
  <c r="D390" i="2"/>
  <c r="J390" i="2" s="1"/>
  <c r="D391" i="2"/>
  <c r="J391" i="2" s="1"/>
  <c r="D392" i="2"/>
  <c r="J392" i="2" s="1"/>
  <c r="D393" i="2"/>
  <c r="J393" i="2" s="1"/>
  <c r="D394" i="2"/>
  <c r="J394" i="2" s="1"/>
  <c r="D395" i="2"/>
  <c r="J395" i="2" s="1"/>
  <c r="D396" i="2"/>
  <c r="J396" i="2" s="1"/>
  <c r="D397" i="2"/>
  <c r="J397" i="2" s="1"/>
  <c r="D352" i="2"/>
  <c r="J352" i="2" s="1"/>
  <c r="D112" i="2"/>
  <c r="J112" i="2" s="1"/>
  <c r="D114" i="2"/>
  <c r="J114" i="2" s="1"/>
  <c r="D116" i="2"/>
  <c r="J116" i="2" s="1"/>
  <c r="D118" i="2"/>
  <c r="J118" i="2" s="1"/>
  <c r="D120" i="2"/>
  <c r="J120" i="2" s="1"/>
  <c r="D122" i="2"/>
  <c r="J122" i="2" s="1"/>
  <c r="D110" i="2"/>
  <c r="J110" i="2" s="1"/>
  <c r="D106" i="2"/>
  <c r="J106" i="2" s="1"/>
  <c r="D104" i="2"/>
  <c r="J104" i="2" s="1"/>
  <c r="D93" i="2"/>
  <c r="J93" i="2" s="1"/>
  <c r="D94" i="2"/>
  <c r="J94" i="2" s="1"/>
  <c r="D95" i="2"/>
  <c r="J95" i="2" s="1"/>
  <c r="D96" i="2"/>
  <c r="J96" i="2" s="1"/>
  <c r="D97" i="2"/>
  <c r="J97" i="2" s="1"/>
  <c r="D98" i="2"/>
  <c r="J98" i="2" s="1"/>
  <c r="D99" i="2"/>
  <c r="J99" i="2" s="1"/>
  <c r="D100" i="2"/>
  <c r="J100" i="2" s="1"/>
  <c r="D101" i="2"/>
  <c r="J101" i="2" s="1"/>
  <c r="D102" i="2"/>
  <c r="J102" i="2" s="1"/>
  <c r="D103" i="2"/>
  <c r="J103" i="2" s="1"/>
  <c r="D92" i="2"/>
  <c r="J92" i="2" s="1"/>
  <c r="D83" i="2"/>
  <c r="J83" i="2" s="1"/>
  <c r="D84" i="2"/>
  <c r="J84" i="2" s="1"/>
  <c r="D85" i="2"/>
  <c r="J85" i="2" s="1"/>
  <c r="D86" i="2"/>
  <c r="J86" i="2" s="1"/>
  <c r="D87" i="2"/>
  <c r="J87" i="2" s="1"/>
  <c r="D82" i="2"/>
  <c r="J82" i="2" s="1"/>
  <c r="D75" i="2"/>
  <c r="J75" i="2" s="1"/>
  <c r="D76" i="2"/>
  <c r="J76" i="2" s="1"/>
  <c r="D77" i="2"/>
  <c r="J77" i="2" s="1"/>
  <c r="D78" i="2"/>
  <c r="J78" i="2" s="1"/>
  <c r="D79" i="2"/>
  <c r="J79" i="2" s="1"/>
  <c r="D74" i="2"/>
  <c r="J74" i="2" s="1"/>
  <c r="D13" i="2"/>
  <c r="J13" i="2" s="1"/>
  <c r="D5" i="2"/>
  <c r="J5" i="2" s="1"/>
  <c r="D6" i="2"/>
  <c r="J6" i="2" s="1"/>
  <c r="D7" i="2"/>
  <c r="J7" i="2" s="1"/>
  <c r="D8" i="2"/>
  <c r="J8" i="2" s="1"/>
  <c r="D9" i="2"/>
  <c r="J9" i="2" s="1"/>
  <c r="D10" i="2"/>
  <c r="J10" i="2" s="1"/>
  <c r="D11" i="2"/>
  <c r="J11" i="2" s="1"/>
  <c r="D12" i="2"/>
  <c r="J12" i="2" s="1"/>
  <c r="D14" i="2"/>
  <c r="J14" i="2" s="1"/>
  <c r="D15" i="2"/>
  <c r="D17" i="2"/>
  <c r="J320" i="75" l="1"/>
  <c r="K321" i="75"/>
  <c r="J285" i="75"/>
  <c r="K286" i="75"/>
  <c r="J150" i="75"/>
  <c r="K151" i="75"/>
  <c r="K108" i="75"/>
  <c r="J107" i="75"/>
  <c r="K32" i="2"/>
  <c r="J31" i="2"/>
  <c r="N249" i="2"/>
  <c r="J248" i="2"/>
  <c r="N33" i="2"/>
  <c r="N15" i="2"/>
  <c r="J15" i="2" s="1"/>
  <c r="K322" i="75" l="1"/>
  <c r="J321" i="75"/>
  <c r="K287" i="75"/>
  <c r="J286" i="75"/>
  <c r="K152" i="75"/>
  <c r="J151" i="75"/>
  <c r="K109" i="75"/>
  <c r="J108" i="75"/>
  <c r="K33" i="2"/>
  <c r="J32" i="2"/>
  <c r="J249" i="2"/>
  <c r="N250" i="2"/>
  <c r="N34" i="2"/>
  <c r="N16" i="2"/>
  <c r="J16" i="2" s="1"/>
  <c r="J322" i="75" l="1"/>
  <c r="K323" i="75"/>
  <c r="J287" i="75"/>
  <c r="K288" i="75"/>
  <c r="K153" i="75"/>
  <c r="J152" i="75"/>
  <c r="J109" i="75"/>
  <c r="K110" i="75"/>
  <c r="K34" i="2"/>
  <c r="J33" i="2"/>
  <c r="J250" i="2"/>
  <c r="N251" i="2"/>
  <c r="N35" i="2"/>
  <c r="N17" i="2"/>
  <c r="J17" i="2" s="1"/>
  <c r="K324" i="75" l="1"/>
  <c r="J323" i="75"/>
  <c r="K289" i="75"/>
  <c r="J288" i="75"/>
  <c r="K154" i="75"/>
  <c r="J153" i="75"/>
  <c r="K111" i="75"/>
  <c r="J110" i="75"/>
  <c r="K35" i="2"/>
  <c r="J34" i="2"/>
  <c r="N252" i="2"/>
  <c r="J251" i="2"/>
  <c r="N36" i="2"/>
  <c r="N18" i="2"/>
  <c r="J18" i="2" s="1"/>
  <c r="J324" i="75" l="1"/>
  <c r="K325" i="75"/>
  <c r="J289" i="75"/>
  <c r="K290" i="75"/>
  <c r="K155" i="75"/>
  <c r="J154" i="75"/>
  <c r="K112" i="75"/>
  <c r="J111" i="75"/>
  <c r="K36" i="2"/>
  <c r="J35" i="2"/>
  <c r="N253" i="2"/>
  <c r="N254" i="2" s="1"/>
  <c r="J252" i="2"/>
  <c r="N37" i="2"/>
  <c r="N19" i="2"/>
  <c r="J19" i="2" s="1"/>
  <c r="K326" i="75" l="1"/>
  <c r="J325" i="75"/>
  <c r="K291" i="75"/>
  <c r="J290" i="75"/>
  <c r="J155" i="75"/>
  <c r="K156" i="75"/>
  <c r="K113" i="75"/>
  <c r="J112" i="75"/>
  <c r="K37" i="2"/>
  <c r="J36" i="2"/>
  <c r="J254" i="2"/>
  <c r="N255" i="2"/>
  <c r="N38" i="2"/>
  <c r="J326" i="75" l="1"/>
  <c r="K327" i="75"/>
  <c r="J291" i="75"/>
  <c r="K292" i="75"/>
  <c r="K157" i="75"/>
  <c r="J156" i="75"/>
  <c r="J113" i="75"/>
  <c r="K114" i="75"/>
  <c r="K38" i="2"/>
  <c r="J37" i="2"/>
  <c r="N256" i="2"/>
  <c r="J255" i="2"/>
  <c r="N39" i="2"/>
  <c r="K328" i="75" l="1"/>
  <c r="J327" i="75"/>
  <c r="K293" i="75"/>
  <c r="J292" i="75"/>
  <c r="K158" i="75"/>
  <c r="J157" i="75"/>
  <c r="K115" i="75"/>
  <c r="J114" i="75"/>
  <c r="K39" i="2"/>
  <c r="J38" i="2"/>
  <c r="N257" i="2"/>
  <c r="J256" i="2"/>
  <c r="N40" i="2"/>
  <c r="J328" i="75" l="1"/>
  <c r="K329" i="75"/>
  <c r="J293" i="75"/>
  <c r="K294" i="75"/>
  <c r="K159" i="75"/>
  <c r="J158" i="75"/>
  <c r="K116" i="75"/>
  <c r="J115" i="75"/>
  <c r="K40" i="2"/>
  <c r="J39" i="2"/>
  <c r="N258" i="2"/>
  <c r="J257" i="2"/>
  <c r="N41" i="2"/>
  <c r="K330" i="75" l="1"/>
  <c r="J329" i="75"/>
  <c r="K295" i="75"/>
  <c r="J294" i="75"/>
  <c r="K160" i="75"/>
  <c r="J159" i="75"/>
  <c r="K117" i="75"/>
  <c r="J116" i="75"/>
  <c r="K41" i="2"/>
  <c r="J40" i="2"/>
  <c r="J258" i="2"/>
  <c r="N259" i="2"/>
  <c r="N42" i="2"/>
  <c r="J330" i="75" l="1"/>
  <c r="K331" i="75"/>
  <c r="J295" i="75"/>
  <c r="K296" i="75"/>
  <c r="J160" i="75"/>
  <c r="K161" i="75"/>
  <c r="J117" i="75"/>
  <c r="K118" i="75"/>
  <c r="K42" i="2"/>
  <c r="J41" i="2"/>
  <c r="N260" i="2"/>
  <c r="J259" i="2"/>
  <c r="N43" i="2"/>
  <c r="K332" i="75" l="1"/>
  <c r="J331" i="75"/>
  <c r="K297" i="75"/>
  <c r="J296" i="75"/>
  <c r="K162" i="75"/>
  <c r="J161" i="75"/>
  <c r="K119" i="75"/>
  <c r="J118" i="75"/>
  <c r="K43" i="2"/>
  <c r="J42" i="2"/>
  <c r="N261" i="2"/>
  <c r="J260" i="2"/>
  <c r="N44" i="2"/>
  <c r="J332" i="75" l="1"/>
  <c r="K333" i="75"/>
  <c r="J297" i="75"/>
  <c r="K298" i="75"/>
  <c r="J162" i="75"/>
  <c r="K163" i="75"/>
  <c r="J119" i="75"/>
  <c r="K120" i="75"/>
  <c r="K44" i="2"/>
  <c r="J43" i="2"/>
  <c r="J261" i="2"/>
  <c r="N262" i="2"/>
  <c r="N45" i="2"/>
  <c r="K334" i="75" l="1"/>
  <c r="J333" i="75"/>
  <c r="K299" i="75"/>
  <c r="J298" i="75"/>
  <c r="K164" i="75"/>
  <c r="J163" i="75"/>
  <c r="K121" i="75"/>
  <c r="J120" i="75"/>
  <c r="K45" i="2"/>
  <c r="J44" i="2"/>
  <c r="J262" i="2"/>
  <c r="N263" i="2"/>
  <c r="N46" i="2"/>
  <c r="J334" i="75" l="1"/>
  <c r="K335" i="75"/>
  <c r="J299" i="75"/>
  <c r="K300" i="75"/>
  <c r="J164" i="75"/>
  <c r="K165" i="75"/>
  <c r="J121" i="75"/>
  <c r="K122" i="75"/>
  <c r="K46" i="2"/>
  <c r="J45" i="2"/>
  <c r="N264" i="2"/>
  <c r="J263" i="2"/>
  <c r="N47" i="2"/>
  <c r="K336" i="75" l="1"/>
  <c r="J335" i="75"/>
  <c r="K301" i="75"/>
  <c r="J300" i="75"/>
  <c r="K166" i="75"/>
  <c r="J165" i="75"/>
  <c r="K123" i="75"/>
  <c r="J122" i="75"/>
  <c r="K47" i="2"/>
  <c r="J46" i="2"/>
  <c r="N265" i="2"/>
  <c r="J264" i="2"/>
  <c r="N48" i="2"/>
  <c r="J336" i="75" l="1"/>
  <c r="K337" i="75"/>
  <c r="J301" i="75"/>
  <c r="K302" i="75"/>
  <c r="K167" i="75"/>
  <c r="J166" i="75"/>
  <c r="J123" i="75"/>
  <c r="K124" i="75"/>
  <c r="K48" i="2"/>
  <c r="J47" i="2"/>
  <c r="N266" i="2"/>
  <c r="J265" i="2"/>
  <c r="N49" i="2"/>
  <c r="K338" i="75" l="1"/>
  <c r="J338" i="75" s="1"/>
  <c r="J337" i="75"/>
  <c r="K303" i="75"/>
  <c r="J302" i="75"/>
  <c r="K168" i="75"/>
  <c r="J167" i="75"/>
  <c r="K125" i="75"/>
  <c r="J124" i="75"/>
  <c r="K49" i="2"/>
  <c r="J48" i="2"/>
  <c r="J266" i="2"/>
  <c r="N267" i="2"/>
  <c r="N50" i="2"/>
  <c r="J303" i="75" l="1"/>
  <c r="K304" i="75"/>
  <c r="K305" i="75" s="1"/>
  <c r="K306" i="75" s="1"/>
  <c r="K307" i="75" s="1"/>
  <c r="K169" i="75"/>
  <c r="J168" i="75"/>
  <c r="J125" i="75"/>
  <c r="K126" i="75"/>
  <c r="K50" i="2"/>
  <c r="J49" i="2"/>
  <c r="N268" i="2"/>
  <c r="J267" i="2"/>
  <c r="N51" i="2"/>
  <c r="J169" i="75" l="1"/>
  <c r="K170" i="75"/>
  <c r="K127" i="75"/>
  <c r="J126" i="75"/>
  <c r="K51" i="2"/>
  <c r="J50" i="2"/>
  <c r="N269" i="2"/>
  <c r="J268" i="2"/>
  <c r="N52" i="2"/>
  <c r="K171" i="75" l="1"/>
  <c r="J170" i="75"/>
  <c r="J127" i="75"/>
  <c r="K128" i="75"/>
  <c r="J128" i="75" s="1"/>
  <c r="K52" i="2"/>
  <c r="J51" i="2"/>
  <c r="J269" i="2"/>
  <c r="N270" i="2"/>
  <c r="N53" i="2"/>
  <c r="J171" i="75" l="1"/>
  <c r="K172" i="75"/>
  <c r="K53" i="2"/>
  <c r="J53" i="2" s="1"/>
  <c r="J52" i="2"/>
  <c r="J270" i="2"/>
  <c r="N271" i="2"/>
  <c r="K173" i="75" l="1"/>
  <c r="J172" i="75"/>
  <c r="N272" i="2"/>
  <c r="J271" i="2"/>
  <c r="K174" i="75" l="1"/>
  <c r="J173" i="75"/>
  <c r="N273" i="2"/>
  <c r="J272" i="2"/>
  <c r="K175" i="75" l="1"/>
  <c r="J174" i="75"/>
  <c r="J273" i="2"/>
  <c r="N274" i="2"/>
  <c r="K176" i="75" l="1"/>
  <c r="J175" i="75"/>
  <c r="J274" i="2"/>
  <c r="N275" i="2"/>
  <c r="J176" i="75" l="1"/>
  <c r="K177" i="75"/>
  <c r="N276" i="2"/>
  <c r="J275" i="2"/>
  <c r="K178" i="75" l="1"/>
  <c r="J177" i="75"/>
  <c r="N277" i="2"/>
  <c r="J276" i="2"/>
  <c r="K179" i="75" l="1"/>
  <c r="J178" i="75"/>
  <c r="J277" i="2"/>
  <c r="N278" i="2"/>
  <c r="K180" i="75" l="1"/>
  <c r="J179" i="75"/>
  <c r="J278" i="2"/>
  <c r="N279" i="2"/>
  <c r="K181" i="75" l="1"/>
  <c r="J180" i="75"/>
  <c r="N280" i="2"/>
  <c r="J279" i="2"/>
  <c r="K182" i="75" l="1"/>
  <c r="J181" i="75"/>
  <c r="N281" i="2"/>
  <c r="J280" i="2"/>
  <c r="K183" i="75" l="1"/>
  <c r="J182" i="75"/>
  <c r="N282" i="2"/>
  <c r="J281" i="2"/>
  <c r="K184" i="75" l="1"/>
  <c r="J183" i="75"/>
  <c r="J282" i="2"/>
  <c r="N283" i="2"/>
  <c r="K185" i="75" l="1"/>
  <c r="J184" i="75"/>
  <c r="N284" i="2"/>
  <c r="J283" i="2"/>
  <c r="K186" i="75" l="1"/>
  <c r="J185" i="75"/>
  <c r="N285" i="2"/>
  <c r="J284" i="2"/>
  <c r="K187" i="75" l="1"/>
  <c r="J186" i="75"/>
  <c r="J285" i="2"/>
  <c r="N286" i="2"/>
  <c r="K188" i="75" l="1"/>
  <c r="J187" i="75"/>
  <c r="J286" i="2"/>
  <c r="N287" i="2"/>
  <c r="J287" i="2" s="1"/>
  <c r="K189" i="75" l="1"/>
  <c r="J188" i="75"/>
  <c r="K190" i="75" l="1"/>
  <c r="J189" i="75"/>
  <c r="K191" i="75" l="1"/>
  <c r="J190" i="75"/>
  <c r="K192" i="75" l="1"/>
  <c r="J191" i="75"/>
  <c r="K193" i="75" l="1"/>
  <c r="J192" i="75"/>
  <c r="K194" i="75" l="1"/>
  <c r="J193" i="75"/>
  <c r="K195" i="75" l="1"/>
  <c r="J194" i="75"/>
  <c r="K196" i="75" l="1"/>
  <c r="J195" i="75"/>
  <c r="K197" i="75" l="1"/>
  <c r="J196" i="75"/>
  <c r="K198" i="75" l="1"/>
  <c r="J197" i="75"/>
  <c r="K199" i="75" l="1"/>
  <c r="J198" i="75"/>
  <c r="K200" i="75" l="1"/>
  <c r="J200" i="75" s="1"/>
  <c r="J199" i="75"/>
  <c r="X102" i="75"/>
</calcChain>
</file>

<file path=xl/sharedStrings.xml><?xml version="1.0" encoding="utf-8"?>
<sst xmlns="http://schemas.openxmlformats.org/spreadsheetml/2006/main" count="5405" uniqueCount="799">
  <si>
    <t>Наименование переменной</t>
  </si>
  <si>
    <t>Примечание</t>
  </si>
  <si>
    <t>Вкл = 1</t>
  </si>
  <si>
    <t>03</t>
  </si>
  <si>
    <t>Авария = 1</t>
  </si>
  <si>
    <t>Функ-
ция</t>
  </si>
  <si>
    <t>Адрес
[dec]</t>
  </si>
  <si>
    <t>02</t>
  </si>
  <si>
    <t>1</t>
  </si>
  <si>
    <t>2</t>
  </si>
  <si>
    <t>Да = 1</t>
  </si>
  <si>
    <t>Регистр
[dec]</t>
  </si>
  <si>
    <t>0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</si>
  <si>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</si>
  <si>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</si>
  <si>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</si>
  <si>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</si>
  <si>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</si>
  <si>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</si>
  <si>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</si>
  <si>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</si>
  <si>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</si>
  <si>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</si>
  <si>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</si>
  <si>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</si>
  <si>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</si>
  <si>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Тип данных/
Значение</t>
  </si>
  <si>
    <t>ТС, ТИ, ТУ</t>
  </si>
  <si>
    <t>ТС</t>
  </si>
  <si>
    <t>-</t>
  </si>
  <si>
    <t>ТИ</t>
  </si>
  <si>
    <t>18</t>
  </si>
  <si>
    <t>412(Bit0)</t>
  </si>
  <si>
    <t>412(Bit1)</t>
  </si>
  <si>
    <t>412(Bit2)</t>
  </si>
  <si>
    <t>float(3210)</t>
  </si>
  <si>
    <t>Ind1</t>
  </si>
  <si>
    <t>Alm1</t>
  </si>
  <si>
    <t>Ind2</t>
  </si>
  <si>
    <t>Alm2</t>
  </si>
  <si>
    <t>Ind3</t>
  </si>
  <si>
    <t>Alm3</t>
  </si>
  <si>
    <t>Ind4</t>
  </si>
  <si>
    <t>Alm4</t>
  </si>
  <si>
    <t>Ind5</t>
  </si>
  <si>
    <t>Alm5</t>
  </si>
  <si>
    <t>Ind6</t>
  </si>
  <si>
    <t>Alm6</t>
  </si>
  <si>
    <t>Ind7</t>
  </si>
  <si>
    <t>Alm7</t>
  </si>
  <si>
    <t>МЭК 61850</t>
  </si>
  <si>
    <t>AnIn1</t>
  </si>
  <si>
    <t>AnIn2</t>
  </si>
  <si>
    <t>AnIn3</t>
  </si>
  <si>
    <t>AnIn4</t>
  </si>
  <si>
    <t>Ind8</t>
  </si>
  <si>
    <t>Alm8</t>
  </si>
  <si>
    <t>Modbus RTU (внутр.)</t>
  </si>
  <si>
    <t>Modbus RTU (внеш.)</t>
  </si>
  <si>
    <t>01</t>
  </si>
  <si>
    <t>Связь с устройствами</t>
  </si>
  <si>
    <t>2PV1</t>
  </si>
  <si>
    <t>471</t>
  </si>
  <si>
    <t>477</t>
  </si>
  <si>
    <t>479</t>
  </si>
  <si>
    <t>483</t>
  </si>
  <si>
    <t>485</t>
  </si>
  <si>
    <t>Напряжение "+" - "земля", В</t>
  </si>
  <si>
    <t>Напряжение "-" - "земля", В</t>
  </si>
  <si>
    <t>Сопротивление "+" - "земля", кОм</t>
  </si>
  <si>
    <t>Сопротивление "-" - "земля", кОм</t>
  </si>
  <si>
    <t>495(Bit7)</t>
  </si>
  <si>
    <t>496(Bit7)</t>
  </si>
  <si>
    <t xml:space="preserve"> </t>
  </si>
  <si>
    <t>Авария. Утечка любого из фидеров</t>
  </si>
  <si>
    <t>Предупреждение. Утечка любого из фидеров</t>
  </si>
  <si>
    <t>47(Bit6)</t>
  </si>
  <si>
    <t>AnIn5</t>
  </si>
  <si>
    <t>DC</t>
  </si>
  <si>
    <t>Напряжение  АБ, В</t>
  </si>
  <si>
    <t>495(Bit5)</t>
  </si>
  <si>
    <t>Авария. Сопротивление утечки шины +</t>
  </si>
  <si>
    <t>495(Bit4)</t>
  </si>
  <si>
    <t>Авария. Сопротивление утечки шины -</t>
  </si>
  <si>
    <t>495(Bit8)</t>
  </si>
  <si>
    <t>496(Bit4)</t>
  </si>
  <si>
    <t>496(Bit5)</t>
  </si>
  <si>
    <t>Предупреждение. Сопротивление утечки шины +</t>
  </si>
  <si>
    <t>Предупреждение. Сопротивление утечки шины -</t>
  </si>
  <si>
    <t>Предупреждение. Перекос напряжения</t>
  </si>
  <si>
    <t>496(Bit8)</t>
  </si>
  <si>
    <t>Авария. Перекоc напряжения</t>
  </si>
  <si>
    <t>UG1</t>
  </si>
  <si>
    <t>Ind9</t>
  </si>
  <si>
    <t>Ind10</t>
  </si>
  <si>
    <t>Ind11</t>
  </si>
  <si>
    <t>Ind12</t>
  </si>
  <si>
    <t>Ind13</t>
  </si>
  <si>
    <t>Ind14</t>
  </si>
  <si>
    <t>Ind15</t>
  </si>
  <si>
    <t>Ind16</t>
  </si>
  <si>
    <t>Ind17</t>
  </si>
  <si>
    <t>Ind18</t>
  </si>
  <si>
    <t>44(Bit0)</t>
  </si>
  <si>
    <t>44(Bit1)</t>
  </si>
  <si>
    <t>44(Bit2)</t>
  </si>
  <si>
    <t>44(Bit3)</t>
  </si>
  <si>
    <t>44(Bit4)</t>
  </si>
  <si>
    <t>44(Bit5)</t>
  </si>
  <si>
    <t>44(Bit6)</t>
  </si>
  <si>
    <t>44(Bit7)</t>
  </si>
  <si>
    <t>44(Bit8)</t>
  </si>
  <si>
    <t>44(Bit9)</t>
  </si>
  <si>
    <t>44(Bit10)</t>
  </si>
  <si>
    <t>44(Bit11)</t>
  </si>
  <si>
    <t>Пуск / Стоп</t>
  </si>
  <si>
    <t>Включить режим подзаряда</t>
  </si>
  <si>
    <t>Включить ускоренный заряд</t>
  </si>
  <si>
    <t>Включить выравнивающий заряд</t>
  </si>
  <si>
    <t>Включить тест цепи АБ</t>
  </si>
  <si>
    <t>Вентиляция включена</t>
  </si>
  <si>
    <t>Перегрев радиаторов</t>
  </si>
  <si>
    <t>Перегрев моточных</t>
  </si>
  <si>
    <t>Состояние вводного аппарата</t>
  </si>
  <si>
    <t>Положение вводного аппарата</t>
  </si>
  <si>
    <t>Состояние выводного аппарата</t>
  </si>
  <si>
    <t>Положение выводного аппарата</t>
  </si>
  <si>
    <t>45(Bit0)</t>
  </si>
  <si>
    <t>45(Bit1)</t>
  </si>
  <si>
    <t>45(Bit2)</t>
  </si>
  <si>
    <t>45(Bit3)</t>
  </si>
  <si>
    <t>45(Bit4)</t>
  </si>
  <si>
    <t>45(Bit5)</t>
  </si>
  <si>
    <t>45(Bit6)</t>
  </si>
  <si>
    <t>45(Bit7)</t>
  </si>
  <si>
    <t>45(Bit8)</t>
  </si>
  <si>
    <t>Общая авария</t>
  </si>
  <si>
    <t>Авария сети</t>
  </si>
  <si>
    <t>Авария теста цепи АБ</t>
  </si>
  <si>
    <t>Перегрев</t>
  </si>
  <si>
    <t>Тест цепи АБ</t>
  </si>
  <si>
    <t>Ускоренный заряд</t>
  </si>
  <si>
    <t>Выравнивающий заряд</t>
  </si>
  <si>
    <t>Включить вентиляцию</t>
  </si>
  <si>
    <t>46(Bit0)</t>
  </si>
  <si>
    <t>46(Bit1)</t>
  </si>
  <si>
    <t>46(Bit2)</t>
  </si>
  <si>
    <t>46(Bit3)</t>
  </si>
  <si>
    <t>46(Bit4)</t>
  </si>
  <si>
    <t>46(Bit5)</t>
  </si>
  <si>
    <t>46(Bit6)</t>
  </si>
  <si>
    <t>46(Bit7)</t>
  </si>
  <si>
    <t>Пропажа сети / Сеть отключена</t>
  </si>
  <si>
    <t>Потеря фазы сети</t>
  </si>
  <si>
    <t>Повышенное напряжение сети</t>
  </si>
  <si>
    <t>Пониженное напряжение сети</t>
  </si>
  <si>
    <t>Повышенная частота сети</t>
  </si>
  <si>
    <t>Пониженная частота сети</t>
  </si>
  <si>
    <t>Неправильное чередование фаз</t>
  </si>
  <si>
    <t>47(Bit0)</t>
  </si>
  <si>
    <t>47(Bit1)</t>
  </si>
  <si>
    <t>47(Bit2)</t>
  </si>
  <si>
    <t>47(Bit3)</t>
  </si>
  <si>
    <t>47(Bit4)</t>
  </si>
  <si>
    <t>47(Bit5)</t>
  </si>
  <si>
    <t>47(Bit7)</t>
  </si>
  <si>
    <t>47(Bit8)</t>
  </si>
  <si>
    <t>47(Bit9)</t>
  </si>
  <si>
    <t>47(Bit10)</t>
  </si>
  <si>
    <t>47(Bit11)</t>
  </si>
  <si>
    <t>Повышенное выходное напряжение</t>
  </si>
  <si>
    <t>Пониженное выходное напряжение</t>
  </si>
  <si>
    <t>Низкое выходное напряжение (ЗГР)</t>
  </si>
  <si>
    <t>Повышенный ток ЗВУ</t>
  </si>
  <si>
    <t>Повышенный ток АБ</t>
  </si>
  <si>
    <t>Повышенная температура АБ</t>
  </si>
  <si>
    <t>Авария вентиляции в помещении АБ</t>
  </si>
  <si>
    <t>КЗ на выходе (ток)</t>
  </si>
  <si>
    <t>КЗ на выходе (напряжение)</t>
  </si>
  <si>
    <t>Высокий коэффициент пульсаций</t>
  </si>
  <si>
    <t>Ошибка связи CAN-шина</t>
  </si>
  <si>
    <t>Ошибка связи с датчиком температуры</t>
  </si>
  <si>
    <t>49(Bit0)</t>
  </si>
  <si>
    <t>49(Bit1)</t>
  </si>
  <si>
    <t>Индикация режима Старт / Стоп</t>
  </si>
  <si>
    <t>Индикация режима Авария</t>
  </si>
  <si>
    <t>Индикация режима Подзаряда</t>
  </si>
  <si>
    <t>Индикация режима Ускоренного заряда</t>
  </si>
  <si>
    <t>Индикация режима Выравнивающего заряда</t>
  </si>
  <si>
    <t>Индикация режима Теста целостности цепи АБ</t>
  </si>
  <si>
    <t>Старт = 1</t>
  </si>
  <si>
    <t>50(Bit0)</t>
  </si>
  <si>
    <t>50(Bit1)</t>
  </si>
  <si>
    <t>50(Bit2)</t>
  </si>
  <si>
    <t>50(Bit3)</t>
  </si>
  <si>
    <t>50(Bit4)</t>
  </si>
  <si>
    <t>50(Bit5)</t>
  </si>
  <si>
    <t>Любая авария=1</t>
  </si>
  <si>
    <t>51</t>
  </si>
  <si>
    <t>Выходное напряжение ЗВУ</t>
  </si>
  <si>
    <t>Выходной ток ЗВУ</t>
  </si>
  <si>
    <t>Напряжение выпрямителя</t>
  </si>
  <si>
    <t>Ток АБ</t>
  </si>
  <si>
    <t>Температура в помещении АБ (от внешнего термодатчика)</t>
  </si>
  <si>
    <t>LD
лог. устройство</t>
  </si>
  <si>
    <t xml:space="preserve">LN
лог. узел </t>
  </si>
  <si>
    <t>DO
лог. объект</t>
  </si>
  <si>
    <t>Вкл=1</t>
  </si>
  <si>
    <t>Авария=1</t>
  </si>
  <si>
    <t>Положение</t>
  </si>
  <si>
    <t>Состояние</t>
  </si>
  <si>
    <t>400</t>
  </si>
  <si>
    <t>402</t>
  </si>
  <si>
    <t>Текущий уровень пульсаций напряжения, В</t>
  </si>
  <si>
    <t>404</t>
  </si>
  <si>
    <t>Текущий уровень пульсаций напряжения, %</t>
  </si>
  <si>
    <t>Текущее значение напряжения, В</t>
  </si>
  <si>
    <t>Alm9</t>
  </si>
  <si>
    <t>Alm10</t>
  </si>
  <si>
    <t>Alm11</t>
  </si>
  <si>
    <t>Alm12</t>
  </si>
  <si>
    <t>Alm13</t>
  </si>
  <si>
    <t>Alm14</t>
  </si>
  <si>
    <t>Alm15</t>
  </si>
  <si>
    <t>Alm16</t>
  </si>
  <si>
    <t>Alm17</t>
  </si>
  <si>
    <t>Alm18</t>
  </si>
  <si>
    <t>Alm19</t>
  </si>
  <si>
    <t>Alm20</t>
  </si>
  <si>
    <t>Alm21</t>
  </si>
  <si>
    <t>Alm22</t>
  </si>
  <si>
    <t>Alm23</t>
  </si>
  <si>
    <t>Alm24</t>
  </si>
  <si>
    <t>Alm25</t>
  </si>
  <si>
    <t>Alm26</t>
  </si>
  <si>
    <t>Alm27</t>
  </si>
  <si>
    <t>Alm28</t>
  </si>
  <si>
    <t>Alm29</t>
  </si>
  <si>
    <t>Alm30</t>
  </si>
  <si>
    <t>UG1. ЗВУ1</t>
  </si>
  <si>
    <t>UG1.ЗВУ1</t>
  </si>
  <si>
    <t>1А3.M-MolS</t>
  </si>
  <si>
    <t>1А4.M-MolS</t>
  </si>
  <si>
    <t>Alm31</t>
  </si>
  <si>
    <t>GGIO1</t>
  </si>
  <si>
    <t>GGIO2</t>
  </si>
  <si>
    <t>GGIO3</t>
  </si>
  <si>
    <t>GGIO4</t>
  </si>
  <si>
    <t>GGIO5</t>
  </si>
  <si>
    <t>GGIO6</t>
  </si>
  <si>
    <t>GGIO7</t>
  </si>
  <si>
    <t>GGIO8</t>
  </si>
  <si>
    <t>GGIO9</t>
  </si>
  <si>
    <t>GGIO10</t>
  </si>
  <si>
    <t>GGIO11</t>
  </si>
  <si>
    <t>GGIO12</t>
  </si>
  <si>
    <t>MMXN1</t>
  </si>
  <si>
    <t>MMXN2</t>
  </si>
  <si>
    <t>MMXN3</t>
  </si>
  <si>
    <t>MMXN4</t>
  </si>
  <si>
    <t>MMXN5</t>
  </si>
  <si>
    <t>MMXN6</t>
  </si>
  <si>
    <t>Общая авария ЩПТ</t>
  </si>
  <si>
    <t>Проверка ламп</t>
  </si>
  <si>
    <t>СКИ. Неисправность</t>
  </si>
  <si>
    <t>UG2</t>
  </si>
  <si>
    <t>AnIn</t>
  </si>
  <si>
    <t>Vol</t>
  </si>
  <si>
    <t>Amp</t>
  </si>
  <si>
    <t>Ut2_MMXN1</t>
  </si>
  <si>
    <t>It_MMXN2</t>
  </si>
  <si>
    <t>Ut1_MMXN3</t>
  </si>
  <si>
    <t>Ib_MMXN4</t>
  </si>
  <si>
    <t>Отсутствует связь = 1</t>
  </si>
  <si>
    <t>Авария=0</t>
  </si>
  <si>
    <t>UG2.ЗВУ2</t>
  </si>
  <si>
    <t>1PV1</t>
  </si>
  <si>
    <t>1PV2</t>
  </si>
  <si>
    <t>1PV3</t>
  </si>
  <si>
    <t>1PV4</t>
  </si>
  <si>
    <t>2PA1</t>
  </si>
  <si>
    <t>СКИ</t>
  </si>
  <si>
    <t>Шкаф 2 ввода и секционирования (ШВС). Модуль ввода дискретных сигналов M-7051D. 2A14</t>
  </si>
  <si>
    <t>Шкаф 2 ввода и секционирования (ШВС). Контроль напряжения секции ECI (Пульс-НС). 2А5</t>
  </si>
  <si>
    <t>Шкаф 2 ввода и секционирования (ШВС). Контроль напряжения секции ECII (Пульс-НС). 2А6</t>
  </si>
  <si>
    <t>Шкаф 2 ввода и секционирования (ШВС). Контроль напряжения секции EYI (Пульс-НС). 2А7</t>
  </si>
  <si>
    <t>Шкаф 2 ввода и секционирования (ШВС). Контроль напряжения секции EYII (Пульс-НС). 2А8</t>
  </si>
  <si>
    <t>Шкаф 2 ввода и секционирования (ШВС). Модуль ввода дискретных сигналов M-Mols. 2А12</t>
  </si>
  <si>
    <t>Шкаф 2 ввода и секционирования (ШВС). Модуль ввода дискретных сигналов M-Mols. 2А13</t>
  </si>
  <si>
    <t>Шкаф 2 ввода и секционирования (ШВС). Измерительные приборы</t>
  </si>
  <si>
    <t>UG2. ЗВУ2</t>
  </si>
  <si>
    <t>3.1</t>
  </si>
  <si>
    <t>3.2</t>
  </si>
  <si>
    <t>Авария диодной защиты ECI</t>
  </si>
  <si>
    <t>Авария диодной защиты ECII</t>
  </si>
  <si>
    <t>Авария диодной защиты EYI</t>
  </si>
  <si>
    <t>Авария диодной защиты EYII</t>
  </si>
  <si>
    <t>Низкое напряжение секции ECI</t>
  </si>
  <si>
    <t>Высокое напряжение секции ECI</t>
  </si>
  <si>
    <t>Пульсации напряжения секции ECI</t>
  </si>
  <si>
    <t>Низкое напряжение секции ECII</t>
  </si>
  <si>
    <t>Высокое напряжение секции ECII</t>
  </si>
  <si>
    <t>Пульсации напряжения секции ECII</t>
  </si>
  <si>
    <t>Низкое напряжение секции EYI</t>
  </si>
  <si>
    <t>Высокое напряжение секции EYI</t>
  </si>
  <si>
    <t>Пульсации напряжения секции EYI</t>
  </si>
  <si>
    <t>Низкое напряжение секции EYII</t>
  </si>
  <si>
    <t>Высокое напряжение секции EYII</t>
  </si>
  <si>
    <t>Пульсации напряжения секции EYII</t>
  </si>
  <si>
    <t>Ток подзаряда АБ</t>
  </si>
  <si>
    <t>Шкаф 1 отходящих линий (ШОЛ). Измерительные приборы</t>
  </si>
  <si>
    <t>Шкаф 1 отходящих линий (ШОЛ). Модуль ввода дискретных сигналов M-Mols. 1А5</t>
  </si>
  <si>
    <t>Шкаф 1 отходящих линий (ШОЛ). Модуль ввода дискретных сигналов M-Mols. 1А4</t>
  </si>
  <si>
    <t>Шкаф 1 отходящих линий (ШОЛ). Модуль ввода дискретных сигналов M-Mols. 1А3</t>
  </si>
  <si>
    <t>Шкаф 2 ввода и секционирования (ШВС). Панель управления cистемы контроля изоляции Weintek 8071iE. 2A11</t>
  </si>
  <si>
    <t>Шкаф 2 ввода и секционирования (ШВС). Кулон СПТ. 2А1</t>
  </si>
  <si>
    <t>1А5.M-MolS</t>
  </si>
  <si>
    <t>2A12.M-MolS</t>
  </si>
  <si>
    <t>2A13.M-MolS</t>
  </si>
  <si>
    <t>2A14.7051</t>
  </si>
  <si>
    <t>2A5.ПульсНС</t>
  </si>
  <si>
    <t>2A6.ПульсНС</t>
  </si>
  <si>
    <t>2A7.ПульсНС</t>
  </si>
  <si>
    <t>2A8.ПульсНС</t>
  </si>
  <si>
    <t>2А1.КулонСПТ</t>
  </si>
  <si>
    <t>2А11.СКИ</t>
  </si>
  <si>
    <t>Ind19</t>
  </si>
  <si>
    <t>Ind20</t>
  </si>
  <si>
    <t>Connect</t>
  </si>
  <si>
    <t>Com-6</t>
  </si>
  <si>
    <t>Com-7</t>
  </si>
  <si>
    <t>Com-5</t>
  </si>
  <si>
    <t>1PV1. Напряжение секции ECI</t>
  </si>
  <si>
    <t>1PV2. Напряжение секции ECII</t>
  </si>
  <si>
    <t>1PV3. Напряжение секции EYI</t>
  </si>
  <si>
    <t>1PV4. Напряжение секции EYII</t>
  </si>
  <si>
    <t>2РА1. Ток заряда / разряда АБ</t>
  </si>
  <si>
    <t>2PV1. Напряжение АБ</t>
  </si>
  <si>
    <t>Com-3</t>
  </si>
  <si>
    <t>Com-4</t>
  </si>
  <si>
    <t>Авария системы мониторинга</t>
  </si>
  <si>
    <t>MonSysAlm</t>
  </si>
  <si>
    <t>4294</t>
  </si>
  <si>
    <t>lb_dd</t>
  </si>
  <si>
    <t>mig</t>
  </si>
  <si>
    <t>st</t>
  </si>
  <si>
    <t>ЩПТ-1</t>
  </si>
  <si>
    <t>M-MoLS</t>
  </si>
  <si>
    <t>1А3</t>
  </si>
  <si>
    <t>ЭНМВ-1-32</t>
  </si>
  <si>
    <t>3А3</t>
  </si>
  <si>
    <t>БВП-1</t>
  </si>
  <si>
    <t>НРТ-2</t>
  </si>
  <si>
    <t>Com-1</t>
  </si>
  <si>
    <t>ШОЛ1</t>
  </si>
  <si>
    <t>ЭНКС-3м</t>
  </si>
  <si>
    <t>255.255.255.0</t>
  </si>
  <si>
    <t>Шлюз: 192.168.10.254</t>
  </si>
  <si>
    <t>Конфигурации последовательных com-портов RS-485:</t>
  </si>
  <si>
    <t>Com-1: 19200, N.8.1;</t>
  </si>
  <si>
    <t>Com-2: 19200, N.8.1;</t>
  </si>
  <si>
    <t>Com-3: 19200, N.8.1;</t>
  </si>
  <si>
    <t>Com-4: 19200, N.8.1;</t>
  </si>
  <si>
    <t>Com-5: 19200, N.8.1;</t>
  </si>
  <si>
    <t>Com-6: 19200, N.8.1;</t>
  </si>
  <si>
    <t>Com-7: 19200, N.8.1.</t>
  </si>
  <si>
    <t>МЭК 60870-5-104</t>
  </si>
  <si>
    <t>Адрес</t>
  </si>
  <si>
    <t>ЩСН103</t>
  </si>
  <si>
    <t>DI_1    Автоматический режим управления</t>
  </si>
  <si>
    <t>Вкл.=1</t>
  </si>
  <si>
    <t>DI_2    Дистанционный режим управления</t>
  </si>
  <si>
    <t>DI_1(1) Контроль напряжения (&gt;0,9Uном) Ввод TN5</t>
  </si>
  <si>
    <t>DI_2(1) 45Q. Секционный. Положение</t>
  </si>
  <si>
    <t>DI_3(1) 45Q. Секционный. Состояние</t>
  </si>
  <si>
    <t>DI_4(1) Защита от замыкание на землю. Ввод TN3</t>
  </si>
  <si>
    <t>DI_4(1) Защита от замыкание на землю. Ввод TN4</t>
  </si>
  <si>
    <t>DI_6(1) Защита от замыкание на землю. Ввод TN5</t>
  </si>
  <si>
    <t>ТУ</t>
  </si>
  <si>
    <t>DI_3    3QF01. Ввод ТСН-1. Положение</t>
  </si>
  <si>
    <t>DI_4    3QF01. Ввод ТСН-1. Состояние</t>
  </si>
  <si>
    <t>DI_5    Контроль напряжения. Ввод TСН-1</t>
  </si>
  <si>
    <t>DI_6    3QF02. Ввод ТСН-2. Положение</t>
  </si>
  <si>
    <t>DI_7    3QF02. Ввод ТСН-2. Состояние</t>
  </si>
  <si>
    <t>DI_8    Контроль напряжения. Ввод TСН-2</t>
  </si>
  <si>
    <t>DI_9 3QF03. Секционный. Положение</t>
  </si>
  <si>
    <t>DI_10 3QF03. Секционный. Состояние</t>
  </si>
  <si>
    <t>DO_1. 3QF01. Ввод ТСН-1. Включить</t>
  </si>
  <si>
    <t>DO_2. 3QF01. Ввод ТСН-1. Отключить</t>
  </si>
  <si>
    <t>DO_3. 3QF02. Ввод ТСН-2. Включить</t>
  </si>
  <si>
    <t>DO_4. 3QF02. Ввод ТСН-2.Отключить</t>
  </si>
  <si>
    <t>DO_5. 3QF03. Секционный. Включить</t>
  </si>
  <si>
    <t>DO_6. 3QF03. Секционный. Отключить</t>
  </si>
  <si>
    <t>DO_7 Сработал АВР</t>
  </si>
  <si>
    <t xml:space="preserve"> -</t>
  </si>
  <si>
    <t>МЭК 60870-5-101 (внутр.)</t>
  </si>
  <si>
    <t>Шкаф 3 Ввода (3Н). Программируемое реле Овен ПР102-24.2416.03.2. 3А4</t>
  </si>
  <si>
    <t>Шкаф 3 Ввода (3Н). ЭНМВ-1-32(24)/0-24-А1. 3А5</t>
  </si>
  <si>
    <t>DI_1    3QF01. Ввод ТСН-1. Вкачен</t>
  </si>
  <si>
    <t>DI_2    3QF01. Ввод ТСН-1. Выкачен</t>
  </si>
  <si>
    <t>DI_3    3QF02. Ввод ТСН-2. Вкачен</t>
  </si>
  <si>
    <t>DI_4    3QF02. Ввод ТСН-2. Выкачен</t>
  </si>
  <si>
    <t>DI_5 3QF03. Секционный. Вкачен</t>
  </si>
  <si>
    <t>DI_6 3QF03. Секционный. Выкачен</t>
  </si>
  <si>
    <t>DI_9 Общая авария</t>
  </si>
  <si>
    <t>DI_10 Аварийное отключение АВ ОЛ ШОЛ1</t>
  </si>
  <si>
    <t>DI_11 Аварийное отключение АВ ОЛ ШОЛ2</t>
  </si>
  <si>
    <t>DI_12 Аварийное отключение АВ ОЛ ШОЛ5</t>
  </si>
  <si>
    <t>DI_13 Аварийное отключение АВ ОЛ ШОЛ4</t>
  </si>
  <si>
    <t>05</t>
  </si>
  <si>
    <t>Вкл=2</t>
  </si>
  <si>
    <t>Вкл=3</t>
  </si>
  <si>
    <t>Вкл=4</t>
  </si>
  <si>
    <t>Вкл=5</t>
  </si>
  <si>
    <t>Вкл=6</t>
  </si>
  <si>
    <t>Шкаф 3 Ввода (3Н).  ЭНИП-2-45/400-24-А2Е0-01. РМ1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</si>
  <si>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</si>
  <si>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</si>
  <si>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</si>
  <si>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</si>
  <si>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</si>
  <si>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</si>
  <si>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</si>
  <si>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</si>
  <si>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</si>
  <si>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</si>
  <si>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</si>
  <si>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</si>
  <si>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</si>
  <si>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</si>
  <si>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</si>
  <si>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</si>
  <si>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</si>
  <si>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</si>
  <si>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</si>
  <si>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</si>
  <si>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</si>
  <si>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</si>
  <si>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</si>
  <si>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</si>
  <si>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128</t>
  </si>
  <si>
    <t>Частота f</t>
  </si>
  <si>
    <t>Ua</t>
  </si>
  <si>
    <t>Ub</t>
  </si>
  <si>
    <t>Uc</t>
  </si>
  <si>
    <t>U фазное среднее</t>
  </si>
  <si>
    <t>U линейное среднее</t>
  </si>
  <si>
    <t>I средний</t>
  </si>
  <si>
    <t>P суммарная</t>
  </si>
  <si>
    <t>Q суммарная</t>
  </si>
  <si>
    <t>S суммарная</t>
  </si>
  <si>
    <t>Шкаф 3 Ввода (3Н).  ЭНМИ-3-24-2. 3А8</t>
  </si>
  <si>
    <t>DI_7 Сработал УЗИП FV1</t>
  </si>
  <si>
    <t>DI_8 Сработал УЗИП FV2</t>
  </si>
  <si>
    <t>Тип кадра</t>
  </si>
  <si>
    <t>Номер устройства</t>
  </si>
  <si>
    <t>FU08. Положение</t>
  </si>
  <si>
    <t>СКИ. Предупреждение</t>
  </si>
  <si>
    <t>СКИ. Земля в сети</t>
  </si>
  <si>
    <t>Шкаф 1 отходящих линий (ШОЛ). ЭНМВ-1. 2А8</t>
  </si>
  <si>
    <t>SKI_DO</t>
  </si>
  <si>
    <t>48(Bit0)</t>
  </si>
  <si>
    <t>48(Bit1)</t>
  </si>
  <si>
    <t>48(Bit2)</t>
  </si>
  <si>
    <t>48(Bit3)</t>
  </si>
  <si>
    <t>48(Bit4)</t>
  </si>
  <si>
    <t>48(Bit5)</t>
  </si>
  <si>
    <t>48(Bit6)</t>
  </si>
  <si>
    <t>48(Bit7)</t>
  </si>
  <si>
    <t>48(Bit8)</t>
  </si>
  <si>
    <t>48(Bit9)</t>
  </si>
  <si>
    <t>48(Bit10)</t>
  </si>
  <si>
    <t>48(Bit11)</t>
  </si>
  <si>
    <t>48(Bit12)</t>
  </si>
  <si>
    <t>48(Bit13)</t>
  </si>
  <si>
    <t>48(Bit14)</t>
  </si>
  <si>
    <t>48(Bit15)</t>
  </si>
  <si>
    <t>49(Bit2)</t>
  </si>
  <si>
    <t>49(Bit3)</t>
  </si>
  <si>
    <t>49(Bit4)</t>
  </si>
  <si>
    <t>49(Bit5)</t>
  </si>
  <si>
    <t>49(Bit6)</t>
  </si>
  <si>
    <t>49(Bit7)</t>
  </si>
  <si>
    <t>Alm32</t>
  </si>
  <si>
    <t>412(Bit3)</t>
  </si>
  <si>
    <t>Перекос напряжения секции 1</t>
  </si>
  <si>
    <t>Текущий уровень перекоса напряжения, В</t>
  </si>
  <si>
    <t>P1A1_</t>
  </si>
  <si>
    <t>Ind21</t>
  </si>
  <si>
    <t>Ind22</t>
  </si>
  <si>
    <t>Ind23</t>
  </si>
  <si>
    <t>Ind24</t>
  </si>
  <si>
    <t>Ind25</t>
  </si>
  <si>
    <t>Ind26</t>
  </si>
  <si>
    <t>Ind27</t>
  </si>
  <si>
    <t>Ind28</t>
  </si>
  <si>
    <t>1QF1. Положение</t>
  </si>
  <si>
    <t>1QF2. Положение</t>
  </si>
  <si>
    <t>1QF3. Положение</t>
  </si>
  <si>
    <t>1QF4. Положение</t>
  </si>
  <si>
    <t>1QF5. Положение</t>
  </si>
  <si>
    <t>1QF6. Положение</t>
  </si>
  <si>
    <t>1QF7. Положение</t>
  </si>
  <si>
    <t>1QF8. Положение</t>
  </si>
  <si>
    <t>1QF9. Положение</t>
  </si>
  <si>
    <t>1QF10. Положение</t>
  </si>
  <si>
    <t>1QF11. Положение</t>
  </si>
  <si>
    <t>1QF12. Положение</t>
  </si>
  <si>
    <t>1QF13. Положение</t>
  </si>
  <si>
    <t>1QF14. Положение</t>
  </si>
  <si>
    <t>1QF15. Положение</t>
  </si>
  <si>
    <t>1QF16. Положение</t>
  </si>
  <si>
    <t>1QF17. Положение</t>
  </si>
  <si>
    <t>1QF18. Положение</t>
  </si>
  <si>
    <t>1QF19. Положение</t>
  </si>
  <si>
    <t>1QF20. Положение</t>
  </si>
  <si>
    <t>1QF21. Положение</t>
  </si>
  <si>
    <t>1QF22. Положение</t>
  </si>
  <si>
    <t>1QF23. Положение</t>
  </si>
  <si>
    <t>1QF24. Положение</t>
  </si>
  <si>
    <t>1QF25. Положение</t>
  </si>
  <si>
    <t>QS1. Положение</t>
  </si>
  <si>
    <t>QS2. Положение</t>
  </si>
  <si>
    <t>QS3. Положение</t>
  </si>
  <si>
    <t>P2A14_</t>
  </si>
  <si>
    <t>GGIO20</t>
  </si>
  <si>
    <t>SKI_AN</t>
  </si>
  <si>
    <t>PA6_3_</t>
  </si>
  <si>
    <t>GGIO29</t>
  </si>
  <si>
    <t>Напряжение АБ, 0,1 х В</t>
  </si>
  <si>
    <t>Напряжение нагрузки, 0,1 х В</t>
  </si>
  <si>
    <t>Выходное напряжение ЗВУ, 0,1 х В</t>
  </si>
  <si>
    <t>Температура АБ, 0,1 х °С</t>
  </si>
  <si>
    <t>Напряжение А-В, 0,1 х В</t>
  </si>
  <si>
    <t>Напряжение А-С, 0,1 х В</t>
  </si>
  <si>
    <t>Напряжение В-С, 0,1 х В</t>
  </si>
  <si>
    <t>Выходной ток ЗВУ, 0,1 х А</t>
  </si>
  <si>
    <t>int16</t>
  </si>
  <si>
    <t>RSPT</t>
  </si>
  <si>
    <t>РСПТ. MSPS-002. A1</t>
  </si>
  <si>
    <t>Высокое напряжение нагрузки</t>
  </si>
  <si>
    <t>Низкое напряжение нагрузки</t>
  </si>
  <si>
    <t>Высокое напряжение АБ</t>
  </si>
  <si>
    <t>Низкое напряжение АБ</t>
  </si>
  <si>
    <t>Состояние изоляции</t>
  </si>
  <si>
    <t>Режим заряда АБ</t>
  </si>
  <si>
    <t>Нет сети</t>
  </si>
  <si>
    <t>Потеря фазы</t>
  </si>
  <si>
    <t>Отсутствие связи с выпрямительным модулем UZ1</t>
  </si>
  <si>
    <t>Отсутствие связи с выпрямительным модулем UZ2</t>
  </si>
  <si>
    <t>Отсутствие связи с выпрямительным модулем UZ3</t>
  </si>
  <si>
    <t>Отсутствие связи с модулем MDCS (А2)</t>
  </si>
  <si>
    <t>Защитный аппарат линии 1QF1-1QF2</t>
  </si>
  <si>
    <t>Общая авария РСПТ-М</t>
  </si>
  <si>
    <t>Батарея отключена (обрыв цепи АБ)</t>
  </si>
  <si>
    <t>Уск./Выр.=1, Подз.=0</t>
  </si>
  <si>
    <t>AnIn6</t>
  </si>
  <si>
    <t>AnIn7</t>
  </si>
  <si>
    <t>AnIn8</t>
  </si>
  <si>
    <t>AnIn9</t>
  </si>
  <si>
    <t>MSPSA3</t>
  </si>
  <si>
    <t>RSPT_</t>
  </si>
  <si>
    <t>Ind29</t>
  </si>
  <si>
    <t>Ind30</t>
  </si>
  <si>
    <t>Ind31</t>
  </si>
  <si>
    <t>Ind32</t>
  </si>
  <si>
    <t>Ind33</t>
  </si>
  <si>
    <t>Ind53</t>
  </si>
  <si>
    <t>Ind54</t>
  </si>
  <si>
    <t>Ind55</t>
  </si>
  <si>
    <t>Ind56</t>
  </si>
  <si>
    <t>Ind57</t>
  </si>
  <si>
    <t>Ind58</t>
  </si>
  <si>
    <t>Ind59</t>
  </si>
  <si>
    <t>Ind60</t>
  </si>
  <si>
    <t>Ind61</t>
  </si>
  <si>
    <t>Ind62</t>
  </si>
  <si>
    <t>Ind63</t>
  </si>
  <si>
    <t>Ind64</t>
  </si>
  <si>
    <t>Ind65</t>
  </si>
  <si>
    <t>MONSYSALM</t>
  </si>
  <si>
    <t>Режим LAN1: 192.168.10.229 +PRP</t>
  </si>
  <si>
    <t>ПульсНС</t>
  </si>
  <si>
    <t>103DC</t>
  </si>
  <si>
    <t>103SKI</t>
  </si>
  <si>
    <t>SHOL1_</t>
  </si>
  <si>
    <t>103UG1</t>
  </si>
  <si>
    <t>ZVU1_</t>
  </si>
  <si>
    <t>Приборы для связи</t>
  </si>
  <si>
    <t>103CONNECT</t>
  </si>
  <si>
    <t>103RSPT</t>
  </si>
  <si>
    <t>PV</t>
  </si>
  <si>
    <t>PA</t>
  </si>
  <si>
    <t>Кулон</t>
  </si>
  <si>
    <t>MSPS-002</t>
  </si>
  <si>
    <t>1PA2. Напряжение секции ECII</t>
  </si>
  <si>
    <t>1PA4. Напряжение секции EYII</t>
  </si>
  <si>
    <t>Sub CopyDannie()</t>
  </si>
  <si>
    <t xml:space="preserve">    Dim ws1 As Worksheet</t>
  </si>
  <si>
    <t xml:space="preserve">    Dim ws2 As Worksheet</t>
  </si>
  <si>
    <t xml:space="preserve">    Dim ws3 As Worksheet</t>
  </si>
  <si>
    <t xml:space="preserve">    Dim i As Integer</t>
  </si>
  <si>
    <t xml:space="preserve">    Dim celStroka As Integer</t>
  </si>
  <si>
    <t xml:space="preserve">    ' Ññûëêè íà ëèñòû</t>
  </si>
  <si>
    <t xml:space="preserve">    Set ws1 = ThisWorkbook.Sheets("àäðåñà 61850") ' Ëèñò 1, îòêóäà êîïèðóåì</t>
  </si>
  <si>
    <t xml:space="preserve">    Set ws2 = ThisWorkbook.Sheets("ïðèáîðû") ' Ëèñò 2 ñ íàçâàíèåì îáîðóäîâàíèÿ</t>
  </si>
  <si>
    <t xml:space="preserve">    Set ws3 = ThisWorkbook.Sheets.Add(After:=ThisWorkbook.Sheets(ThisWorkbook.Sheets.Count)) ' Ñîçäàíèå íîâîãî ëèñòà 3</t>
  </si>
  <si>
    <t xml:space="preserve">    ws3.Name = "Ðàáî÷êà" ' Íàçâàíèå íîâîãî ëèñòà</t>
  </si>
  <si>
    <t xml:space="preserve">    celStroka = 1 ' Íà÷àëüíàÿ ñòðîêà äëÿ âñòàâêè íà ëèñò 3</t>
  </si>
  <si>
    <t xml:space="preserve">    </t>
  </si>
  <si>
    <t xml:space="preserve">    ' Âñòàâëÿåì çàãîëîâîê</t>
  </si>
  <si>
    <t xml:space="preserve">    ws1.Range("A1:W2").Copy Destination:=ws3.Cells(celStroka, 1)</t>
  </si>
  <si>
    <t xml:space="preserve">    celStroka = celStroka + 2</t>
  </si>
  <si>
    <t xml:space="preserve">    ' Ïðîõîäèì ïî ÿ÷åéêàì N2-N15 íà ëèñòå 2</t>
  </si>
  <si>
    <t xml:space="preserve">    For i = 2 To 15</t>
  </si>
  <si>
    <t xml:space="preserve">        Select Case ws2.Cells(i, 14).Value ' N = 14-é ñòîëáåö</t>
  </si>
  <si>
    <t xml:space="preserve">            Case "M-MoLS"</t>
  </si>
  <si>
    <t xml:space="preserve">                ' Êîïèðóåì äèàïàçîí A3:J19 ñ ëèñòà 1</t>
  </si>
  <si>
    <t xml:space="preserve">            Case "ÏóëüñÍÑ"</t>
  </si>
  <si>
    <t xml:space="preserve">                ' Êîïèðóåì äèàïàçîí A141:J148 ñ ëèñòà 1</t>
  </si>
  <si>
    <t xml:space="preserve">                ws1.Range("A144:X153").Copy Destination:=ws3.Cells(celStroka, 1)</t>
  </si>
  <si>
    <t xml:space="preserve">                celStroka = celStroka + 10 ' Ïåðåõîäèì íà 8 ñòðîê âíèç äëÿ ñëåäóþùåé âñòàâêè</t>
  </si>
  <si>
    <t xml:space="preserve">            Case "ÝÍÌÂ-1-32"</t>
  </si>
  <si>
    <t xml:space="preserve">                ws1.Range("A20:X53").Copy Destination:=ws3.Cells(celStroka, 1)</t>
  </si>
  <si>
    <t xml:space="preserve">            Case "MSPS-002"</t>
  </si>
  <si>
    <t xml:space="preserve">        End Select</t>
  </si>
  <si>
    <t xml:space="preserve">    Next i</t>
  </si>
  <si>
    <t>End Sub</t>
  </si>
  <si>
    <t>3.3</t>
  </si>
  <si>
    <t>3.4</t>
  </si>
  <si>
    <t>3.5</t>
  </si>
  <si>
    <t>P1A4_</t>
  </si>
  <si>
    <t xml:space="preserve">                ws1.Range("A54:X71").Copy Destination:=ws3.Cells(celStroka, 1)</t>
  </si>
  <si>
    <t xml:space="preserve">                celStroka = celStroka + 18 ' Ïåðåõîäèì íà 16 ñòðîê âíèç äëÿ ñëåäóþùåé âñòàâêè</t>
  </si>
  <si>
    <t xml:space="preserve">                ws1.Range("A404:X434").Copy Destination:=ws3.Cells(celStroka, 1)</t>
  </si>
  <si>
    <t xml:space="preserve">                celStroka = celStroka + 31 ' Ïåðåõîäèì íà 8 ñòðîê âíèç äëÿ ñëåäóþùåé âñòàâêè</t>
  </si>
  <si>
    <t>1A1</t>
  </si>
  <si>
    <t>1А2</t>
  </si>
  <si>
    <t>2А3</t>
  </si>
  <si>
    <t>2А6</t>
  </si>
  <si>
    <t>2А17</t>
  </si>
  <si>
    <t>2А18</t>
  </si>
  <si>
    <t>2РА1</t>
  </si>
  <si>
    <t>2РА2</t>
  </si>
  <si>
    <t>2РА3</t>
  </si>
  <si>
    <t>2А10</t>
  </si>
  <si>
    <t>ШВАБ1</t>
  </si>
  <si>
    <t>2А1</t>
  </si>
  <si>
    <t>3А1</t>
  </si>
  <si>
    <t>3А2</t>
  </si>
  <si>
    <t>ШВС</t>
  </si>
  <si>
    <t>ШОЛ3</t>
  </si>
  <si>
    <t>Com-8</t>
  </si>
  <si>
    <t>А2</t>
  </si>
  <si>
    <t>ЗВУ1</t>
  </si>
  <si>
    <t>ЗВУ2</t>
  </si>
  <si>
    <t>ШРОТ-К</t>
  </si>
  <si>
    <t>ШРОТ-6</t>
  </si>
  <si>
    <t>ШРОТ-1</t>
  </si>
  <si>
    <t>ШРОТ-7</t>
  </si>
  <si>
    <t>1А1</t>
  </si>
  <si>
    <t>ЭНМВ-1-24</t>
  </si>
  <si>
    <t>НРТМ</t>
  </si>
  <si>
    <t>ОБРАЗЕЦ</t>
  </si>
  <si>
    <t>ВСТАВЛЯТЬ СЮДА</t>
  </si>
  <si>
    <t>16</t>
  </si>
  <si>
    <t>21</t>
  </si>
  <si>
    <t>22</t>
  </si>
  <si>
    <t>23</t>
  </si>
  <si>
    <t>24</t>
  </si>
  <si>
    <t>Шкаф 1 отходящих линий (ШОЛ). Модуль ввода дискретных сигналов M-Mols. 1А1</t>
  </si>
  <si>
    <t>Шкаф 1 отходящих линий (ШОЛ). Модуль ввода дискретных сигналов M-Mols. 1А2</t>
  </si>
  <si>
    <t>Шкаф 2 ввода и секционирования (ШВС). Контроль напряжения секции ECI (Пульс-НС). 2А3</t>
  </si>
  <si>
    <t>Шкаф 2 ввода и секционирования (ШВС). Контроль напряжения секции ECI (Пульс-НС). 2А6</t>
  </si>
  <si>
    <t>Шкаф 2 ввода и секционирования (ШВС). Модуль ввода дискретных сигналов M-Mols. 2А17</t>
  </si>
  <si>
    <t>Шкаф 2 ввода и секционирования (ШВС). ЭНМВ-1. 2А18</t>
  </si>
  <si>
    <t>Шкаф 2 ввода и секционирования (ШВС). Кулон СПТ. 2А10</t>
  </si>
  <si>
    <t>Шкаф 2 ввода и секционирования (ШВС). Панель управления cистемы контроля изоляции Weintek 8071iE. 2A1</t>
  </si>
  <si>
    <t>Шкаф 3 отходящих линий (ШОЛ). Модуль ввода дискретных сигналов M-Mols. 3А3</t>
  </si>
  <si>
    <t>Шкаф 3 отходящих линий (ШОЛ). Модуль ввода дискретных сигналов M-Mols. 3А2</t>
  </si>
  <si>
    <t>Шкаф 3 отходящих линий (ШОЛ). Модуль ввода дискретных сигналов M-Mols. 3A1</t>
  </si>
  <si>
    <t>Шкаф ввода аккумуляторной батареи 1 (БВП1). Модуль ввода дискретных сигналов M-Mols. А2</t>
  </si>
  <si>
    <t>ЗВУ1. MSPS-002. A1</t>
  </si>
  <si>
    <t>Перекос напряжения АБ1</t>
  </si>
  <si>
    <t>2PA1. Ток ЗВУ1</t>
  </si>
  <si>
    <t>2PA2. Ток ЗВУ2</t>
  </si>
  <si>
    <t>2PA3. Ток АБ1</t>
  </si>
  <si>
    <t>2PV1. Напряжение секции EJI</t>
  </si>
  <si>
    <t>Низкое напряжение секции EJI</t>
  </si>
  <si>
    <t>Высокое напряжение секции EJI</t>
  </si>
  <si>
    <t>Пульсации напряжения секции EJI</t>
  </si>
  <si>
    <t>1-2</t>
  </si>
  <si>
    <t>1.1</t>
  </si>
  <si>
    <t>1.2</t>
  </si>
  <si>
    <t>1.3</t>
  </si>
  <si>
    <t>1.4</t>
  </si>
  <si>
    <t>1.5</t>
  </si>
  <si>
    <t>Общая авария ШПТ</t>
  </si>
  <si>
    <t>Авария диодной защиты. EJ1</t>
  </si>
  <si>
    <t>Земля в сети. СКИ</t>
  </si>
  <si>
    <t>Предупреждение. СКИ</t>
  </si>
  <si>
    <t>Неисправность. СКИ</t>
  </si>
  <si>
    <t>Авария EJ1.1</t>
  </si>
  <si>
    <t>Авария EJ1.2</t>
  </si>
  <si>
    <t>Авария U1.1</t>
  </si>
  <si>
    <t>SF1.1 Включен</t>
  </si>
  <si>
    <t>Снижение изоляции секции БАО1</t>
  </si>
  <si>
    <t>U симметри АБ1</t>
  </si>
  <si>
    <t>Максимум напряжения EJ1</t>
  </si>
  <si>
    <t>Минимум напряжения EJ1</t>
  </si>
  <si>
    <t>Пульсации напряжения EJ1</t>
  </si>
  <si>
    <t>Дверь ШВС2 открыта</t>
  </si>
  <si>
    <t>Дверь ШОЛ1 открыта</t>
  </si>
  <si>
    <t>Дверь ШОЛ3 открыта</t>
  </si>
  <si>
    <t>Вкл=0</t>
  </si>
  <si>
    <t>24(Bit4)</t>
  </si>
  <si>
    <t>25(Bit5)</t>
  </si>
  <si>
    <t>25(Bit7)</t>
  </si>
  <si>
    <t>25(Bit8)</t>
  </si>
  <si>
    <t>25(Bit4)</t>
  </si>
  <si>
    <t>24(Bit5)</t>
  </si>
  <si>
    <t>24(Bit7)</t>
  </si>
  <si>
    <t>24(Bit8)</t>
  </si>
  <si>
    <t>Alm33</t>
  </si>
  <si>
    <t>Alm34</t>
  </si>
  <si>
    <t>Alm35</t>
  </si>
  <si>
    <t>Alm36</t>
  </si>
  <si>
    <t>Alm37</t>
  </si>
  <si>
    <t>Alm38</t>
  </si>
  <si>
    <t>Alm39</t>
  </si>
  <si>
    <t>Alm40</t>
  </si>
  <si>
    <t>Alm41</t>
  </si>
  <si>
    <t>Alm42</t>
  </si>
  <si>
    <t>Alm43</t>
  </si>
  <si>
    <t>Alm44</t>
  </si>
  <si>
    <t>Alm45</t>
  </si>
  <si>
    <t>Alm46</t>
  </si>
  <si>
    <t>Alm47</t>
  </si>
  <si>
    <t>Alm48</t>
  </si>
  <si>
    <t>Alm49</t>
  </si>
  <si>
    <t>Alm50</t>
  </si>
  <si>
    <t>Alm51</t>
  </si>
  <si>
    <t>Alm52</t>
  </si>
  <si>
    <t>Alm53</t>
  </si>
  <si>
    <t>Alm54</t>
  </si>
  <si>
    <t>Alm55</t>
  </si>
  <si>
    <t>Alm56</t>
  </si>
  <si>
    <t>49(bit8)</t>
  </si>
  <si>
    <t>49(bit9)</t>
  </si>
  <si>
    <t>49(bit10)</t>
  </si>
  <si>
    <t>49(bit11)</t>
  </si>
  <si>
    <t>49(bit12)</t>
  </si>
  <si>
    <t>49(bit13)</t>
  </si>
  <si>
    <t>49(bit14)</t>
  </si>
  <si>
    <t>49(bit15)</t>
  </si>
  <si>
    <t>50(bit0)</t>
  </si>
  <si>
    <t>50(bit1)</t>
  </si>
  <si>
    <t>50(bit2)</t>
  </si>
  <si>
    <t>50(bit3)</t>
  </si>
  <si>
    <t>50(bit4)</t>
  </si>
  <si>
    <t>50(bit5)</t>
  </si>
  <si>
    <t>50(bit6)</t>
  </si>
  <si>
    <t>50(bit7)</t>
  </si>
  <si>
    <t>50(bit8)</t>
  </si>
  <si>
    <t>50(bit9)</t>
  </si>
  <si>
    <t>50(bit10)</t>
  </si>
  <si>
    <t>50(bit11)</t>
  </si>
  <si>
    <t>50(bit12)</t>
  </si>
  <si>
    <t>50(bit13)</t>
  </si>
  <si>
    <t>50(bit14)</t>
  </si>
  <si>
    <t>50(bit15)</t>
  </si>
  <si>
    <t>29</t>
  </si>
  <si>
    <t>30</t>
  </si>
  <si>
    <t>31</t>
  </si>
  <si>
    <t>32</t>
  </si>
  <si>
    <t>37</t>
  </si>
  <si>
    <t>38</t>
  </si>
  <si>
    <t>39</t>
  </si>
  <si>
    <t>40</t>
  </si>
  <si>
    <t>45</t>
  </si>
  <si>
    <t>46</t>
  </si>
  <si>
    <t>47</t>
  </si>
  <si>
    <t>48</t>
  </si>
  <si>
    <t>QF1. Положение</t>
  </si>
  <si>
    <t>QF2. Положение</t>
  </si>
  <si>
    <t>QF4. Положение</t>
  </si>
  <si>
    <t>QF3. Положение</t>
  </si>
  <si>
    <t>Вентиляция</t>
  </si>
  <si>
    <t>Защитный аппарат линии QF1-QF3</t>
  </si>
  <si>
    <t>Защитный аппарат линии QF4</t>
  </si>
  <si>
    <t>Общая авария НРТМ</t>
  </si>
  <si>
    <t>18DC</t>
  </si>
  <si>
    <t>18SKI</t>
  </si>
  <si>
    <t>18HPTM</t>
  </si>
  <si>
    <t>MSPSA1</t>
  </si>
  <si>
    <t>ЗВУ2. MSPS-002. A3</t>
  </si>
  <si>
    <t>ЕСЛИМН(ИЛИ(E99="Авария=1";E99="Авария=0");СЦЕПИТЬ("Alm";СУММ(СЧЁТЕСЛИ($M$97:M98;"*Alm*");1));ИЛИ(E99="Вкл=1";E99="Вкл=0");СЦЕПИТЬ("Ind";СУММ(СЧЁТЕСЛИ($M$97:M98;"*Ind*");1)))</t>
  </si>
  <si>
    <t>Полезная формула для заполнения Alm or Ind с числами</t>
  </si>
  <si>
    <t>Далее применяем условное форматирование с правилами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</si>
</sst>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7">
    <xf numFmtId="0" fontId="0" fillId="0" borderId="0" xfId="0"/>
    <xf numFmtId="0" fontId="1" fillId="0" borderId="1" xfId="0" applyFont="1" applyBorder="1"/>
    <xf numFmtId="49" fontId="1" fillId="0" borderId="1" xfId="0" applyNumberFormat="1" applyFont="1" applyBorder="1"/>
    <xf numFmtId="49" fontId="1" fillId="0" borderId="1" xfId="0" applyNumberFormat="1" applyFont="1" applyFill="1" applyBorder="1"/>
    <xf numFmtId="49" fontId="2" fillId="0" borderId="1" xfId="0" applyNumberFormat="1" applyFont="1" applyBorder="1" applyAlignment="1">
      <alignment horizontal="center" vertical="center" wrapText="1"/>
    </xf>
    <xf numFmtId="49" fontId="0" fillId="0" borderId="0" xfId="0" applyNumberFormat="1"/>
    <xf numFmtId="1" fontId="0" fillId="0" borderId="0" xfId="0" applyNumberFormat="1"/>
    <xf numFmtId="49" fontId="1" fillId="0" borderId="1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1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49" fontId="1" fillId="0" borderId="1" xfId="0" applyNumberFormat="1" applyFont="1" applyFill="1" applyBorder="1" applyAlignment="1">
      <alignment horizontal="left" vertical="center"/>
    </xf>
    <xf numFmtId="49" fontId="1" fillId="0" borderId="1" xfId="0" applyNumberFormat="1" applyFont="1" applyFill="1" applyBorder="1" applyAlignment="1">
      <alignment vertical="center"/>
    </xf>
    <xf numFmtId="0" fontId="0" fillId="0" borderId="0" xfId="0" applyFill="1"/>
    <xf numFmtId="49" fontId="1" fillId="0" borderId="7" xfId="0" applyNumberFormat="1" applyFont="1" applyFill="1" applyBorder="1" applyAlignment="1">
      <alignment horizontal="center" vertical="center"/>
    </xf>
    <xf numFmtId="0" fontId="1" fillId="0" borderId="1" xfId="0" applyFont="1" applyFill="1" applyBorder="1"/>
    <xf numFmtId="49" fontId="1" fillId="0" borderId="1" xfId="0" applyNumberFormat="1" applyFont="1" applyFill="1" applyBorder="1" applyAlignment="1">
      <alignment horizontal="left" vertical="center" wrapText="1" shrinkToFit="1"/>
    </xf>
    <xf numFmtId="49" fontId="1" fillId="0" borderId="4" xfId="0" applyNumberFormat="1" applyFont="1" applyBorder="1" applyAlignment="1">
      <alignment horizontal="left" vertical="center"/>
    </xf>
    <xf numFmtId="49" fontId="1" fillId="0" borderId="4" xfId="0" applyNumberFormat="1" applyFont="1" applyFill="1" applyBorder="1"/>
    <xf numFmtId="0" fontId="1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top"/>
    </xf>
    <xf numFmtId="49" fontId="1" fillId="0" borderId="0" xfId="0" applyNumberFormat="1" applyFont="1" applyBorder="1" applyAlignment="1">
      <alignment horizontal="center" vertical="top"/>
    </xf>
    <xf numFmtId="0" fontId="1" fillId="0" borderId="0" xfId="0" applyFont="1" applyBorder="1"/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2" borderId="0" xfId="0" applyFill="1"/>
    <xf numFmtId="49" fontId="1" fillId="0" borderId="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49" fontId="5" fillId="0" borderId="1" xfId="0" applyNumberFormat="1" applyFont="1" applyFill="1" applyBorder="1" applyAlignment="1">
      <alignment horizontal="left" vertical="center"/>
    </xf>
    <xf numFmtId="49" fontId="1" fillId="0" borderId="6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ont="1" applyFill="1"/>
    <xf numFmtId="0" fontId="0" fillId="0" borderId="1" xfId="0" applyFill="1" applyBorder="1"/>
    <xf numFmtId="0" fontId="0" fillId="0" borderId="0" xfId="0" applyFill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49" fontId="1" fillId="0" borderId="0" xfId="0" applyNumberFormat="1" applyFont="1" applyBorder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ont="1" applyFill="1" applyAlignment="1">
      <alignment horizontal="right"/>
    </xf>
    <xf numFmtId="49" fontId="1" fillId="0" borderId="3" xfId="0" applyNumberFormat="1" applyFont="1" applyBorder="1"/>
    <xf numFmtId="49" fontId="1" fillId="0" borderId="3" xfId="0" applyNumberFormat="1" applyFont="1" applyBorder="1" applyAlignment="1">
      <alignment horizontal="left" vertical="center"/>
    </xf>
    <xf numFmtId="49" fontId="1" fillId="0" borderId="3" xfId="0" applyNumberFormat="1" applyFont="1" applyFill="1" applyBorder="1"/>
    <xf numFmtId="0" fontId="1" fillId="0" borderId="3" xfId="0" applyNumberFormat="1" applyFont="1" applyFill="1" applyBorder="1" applyAlignment="1">
      <alignment horizontal="center" vertical="center" wrapText="1"/>
    </xf>
    <xf numFmtId="49" fontId="1" fillId="0" borderId="6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1" fillId="0" borderId="0" xfId="0" applyFont="1" applyBorder="1" applyAlignment="1">
      <alignment horizontal="center"/>
    </xf>
    <xf numFmtId="49" fontId="1" fillId="0" borderId="1" xfId="0" applyNumberFormat="1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1" xfId="0" applyFont="1" applyFill="1" applyBorder="1" applyAlignment="1">
      <alignment horizontal="left" vertical="center" indent="1"/>
    </xf>
    <xf numFmtId="0" fontId="6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left" indent="1"/>
    </xf>
    <xf numFmtId="0" fontId="7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 indent="1"/>
    </xf>
    <xf numFmtId="0" fontId="0" fillId="0" borderId="1" xfId="0" applyFill="1" applyBorder="1" applyAlignment="1">
      <alignment horizontal="left" indent="1"/>
    </xf>
    <xf numFmtId="0" fontId="0" fillId="0" borderId="0" xfId="0" applyBorder="1"/>
    <xf numFmtId="0" fontId="0" fillId="0" borderId="1" xfId="0" applyBorder="1" applyAlignment="1">
      <alignment horizontal="center"/>
    </xf>
    <xf numFmtId="1" fontId="8" fillId="0" borderId="0" xfId="0" applyNumberFormat="1" applyFont="1"/>
    <xf numFmtId="0" fontId="8" fillId="0" borderId="0" xfId="0" applyFont="1"/>
    <xf numFmtId="0" fontId="8" fillId="0" borderId="0" xfId="0" applyNumberFormat="1" applyFont="1"/>
    <xf numFmtId="49" fontId="8" fillId="0" borderId="0" xfId="0" applyNumberFormat="1" applyFont="1"/>
    <xf numFmtId="1" fontId="8" fillId="0" borderId="0" xfId="0" applyNumberFormat="1" applyFont="1" applyAlignment="1"/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justify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NumberFormat="1" applyBorder="1"/>
    <xf numFmtId="0" fontId="8" fillId="0" borderId="1" xfId="0" applyFont="1" applyBorder="1" applyAlignment="1">
      <alignment horizontal="justify" vertical="center" wrapText="1"/>
    </xf>
    <xf numFmtId="0" fontId="8" fillId="0" borderId="1" xfId="0" applyFont="1" applyBorder="1" applyAlignment="1">
      <alignment vertical="center"/>
    </xf>
    <xf numFmtId="0" fontId="8" fillId="0" borderId="1" xfId="0" applyFont="1" applyBorder="1"/>
    <xf numFmtId="0" fontId="8" fillId="0" borderId="1" xfId="0" applyNumberFormat="1" applyFont="1" applyBorder="1"/>
    <xf numFmtId="1" fontId="8" fillId="0" borderId="1" xfId="0" applyNumberFormat="1" applyFont="1" applyBorder="1"/>
    <xf numFmtId="49" fontId="8" fillId="0" borderId="1" xfId="0" applyNumberFormat="1" applyFont="1" applyBorder="1"/>
    <xf numFmtId="0" fontId="8" fillId="4" borderId="1" xfId="0" applyNumberFormat="1" applyFont="1" applyFill="1" applyBorder="1"/>
    <xf numFmtId="49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Fill="1" applyBorder="1"/>
    <xf numFmtId="0" fontId="8" fillId="2" borderId="0" xfId="0" applyFont="1" applyFill="1"/>
    <xf numFmtId="49" fontId="8" fillId="0" borderId="0" xfId="0" applyNumberFormat="1" applyFont="1" applyAlignment="1">
      <alignment horizontal="right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left"/>
    </xf>
    <xf numFmtId="49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0" fontId="8" fillId="0" borderId="0" xfId="0" applyFont="1" applyAlignment="1">
      <alignment horizontal="center"/>
    </xf>
    <xf numFmtId="1" fontId="8" fillId="0" borderId="0" xfId="0" applyNumberFormat="1" applyFont="1" applyBorder="1" applyAlignment="1">
      <alignment horizontal="center" vertical="top"/>
    </xf>
    <xf numFmtId="49" fontId="8" fillId="0" borderId="0" xfId="0" applyNumberFormat="1" applyFont="1" applyBorder="1" applyAlignment="1">
      <alignment horizontal="center" vertical="top"/>
    </xf>
    <xf numFmtId="49" fontId="8" fillId="0" borderId="0" xfId="0" applyNumberFormat="1" applyFont="1" applyBorder="1" applyAlignment="1">
      <alignment horizontal="right"/>
    </xf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49" fontId="8" fillId="0" borderId="0" xfId="0" applyNumberFormat="1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49" fontId="8" fillId="0" borderId="1" xfId="0" applyNumberFormat="1" applyFont="1" applyFill="1" applyBorder="1"/>
    <xf numFmtId="49" fontId="8" fillId="0" borderId="3" xfId="0" applyNumberFormat="1" applyFont="1" applyBorder="1"/>
    <xf numFmtId="49" fontId="8" fillId="0" borderId="3" xfId="0" applyNumberFormat="1" applyFont="1" applyBorder="1" applyAlignment="1">
      <alignment horizontal="left" vertical="center"/>
    </xf>
    <xf numFmtId="49" fontId="8" fillId="0" borderId="3" xfId="0" applyNumberFormat="1" applyFont="1" applyFill="1" applyBorder="1"/>
    <xf numFmtId="0" fontId="8" fillId="0" borderId="3" xfId="0" applyNumberFormat="1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/>
    </xf>
    <xf numFmtId="49" fontId="8" fillId="0" borderId="7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 wrapText="1" shrinkToFit="1"/>
    </xf>
    <xf numFmtId="1" fontId="8" fillId="0" borderId="5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left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left" vertical="center"/>
    </xf>
    <xf numFmtId="49" fontId="8" fillId="0" borderId="6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49" fontId="8" fillId="0" borderId="6" xfId="0" applyNumberFormat="1" applyFont="1" applyFill="1" applyBorder="1" applyAlignment="1">
      <alignment horizontal="center"/>
    </xf>
    <xf numFmtId="1" fontId="8" fillId="0" borderId="5" xfId="0" applyNumberFormat="1" applyFont="1" applyFill="1" applyBorder="1" applyAlignment="1">
      <alignment horizontal="center" vertical="center"/>
    </xf>
    <xf numFmtId="49" fontId="8" fillId="0" borderId="4" xfId="0" applyNumberFormat="1" applyFont="1" applyBorder="1" applyAlignment="1">
      <alignment horizontal="left" vertical="center"/>
    </xf>
    <xf numFmtId="49" fontId="8" fillId="0" borderId="4" xfId="0" applyNumberFormat="1" applyFont="1" applyFill="1" applyBorder="1"/>
    <xf numFmtId="0" fontId="8" fillId="0" borderId="4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12" xfId="0" applyFont="1" applyBorder="1" applyAlignment="1">
      <alignment horizontal="justify" vertical="center"/>
    </xf>
    <xf numFmtId="0" fontId="8" fillId="0" borderId="13" xfId="0" applyFont="1" applyBorder="1" applyAlignment="1">
      <alignment horizontal="justify" vertical="center"/>
    </xf>
    <xf numFmtId="1" fontId="8" fillId="0" borderId="5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justify" vertical="center"/>
    </xf>
    <xf numFmtId="0" fontId="8" fillId="0" borderId="6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Border="1" applyAlignment="1"/>
    <xf numFmtId="49" fontId="8" fillId="0" borderId="3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8" fillId="0" borderId="7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0" fillId="4" borderId="0" xfId="0" applyFill="1"/>
    <xf numFmtId="0" fontId="0" fillId="4" borderId="1" xfId="0" applyFill="1" applyBorder="1" applyAlignment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indent="1"/>
    </xf>
    <xf numFmtId="1" fontId="9" fillId="0" borderId="1" xfId="0" applyNumberFormat="1" applyFont="1" applyFill="1" applyBorder="1" applyAlignment="1"/>
    <xf numFmtId="1" fontId="9" fillId="0" borderId="1" xfId="0" applyNumberFormat="1" applyFont="1" applyBorder="1" applyAlignment="1">
      <alignment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/>
    </xf>
    <xf numFmtId="0" fontId="8" fillId="5" borderId="0" xfId="0" applyFont="1" applyFill="1"/>
    <xf numFmtId="0" fontId="8" fillId="5" borderId="0" xfId="0" applyFont="1" applyFill="1" applyAlignment="1">
      <alignment horizontal="left" vertical="center"/>
    </xf>
    <xf numFmtId="1" fontId="8" fillId="5" borderId="0" xfId="0" applyNumberFormat="1" applyFont="1" applyFill="1" applyBorder="1" applyAlignment="1">
      <alignment horizontal="center" vertical="top"/>
    </xf>
    <xf numFmtId="0" fontId="8" fillId="5" borderId="0" xfId="0" applyFont="1" applyFill="1" applyAlignment="1">
      <alignment horizontal="center"/>
    </xf>
    <xf numFmtId="0" fontId="8" fillId="0" borderId="1" xfId="0" applyNumberFormat="1" applyFont="1" applyBorder="1" applyAlignment="1">
      <alignment horizontal="center"/>
    </xf>
    <xf numFmtId="1" fontId="8" fillId="0" borderId="15" xfId="0" applyNumberFormat="1" applyFont="1" applyBorder="1"/>
    <xf numFmtId="0" fontId="8" fillId="0" borderId="16" xfId="0" applyFont="1" applyBorder="1"/>
    <xf numFmtId="49" fontId="8" fillId="0" borderId="16" xfId="0" applyNumberFormat="1" applyFont="1" applyBorder="1"/>
    <xf numFmtId="0" fontId="8" fillId="0" borderId="16" xfId="0" applyNumberFormat="1" applyFont="1" applyBorder="1"/>
    <xf numFmtId="0" fontId="8" fillId="0" borderId="17" xfId="0" applyFont="1" applyBorder="1"/>
    <xf numFmtId="1" fontId="8" fillId="0" borderId="11" xfId="0" applyNumberFormat="1" applyFont="1" applyBorder="1"/>
    <xf numFmtId="49" fontId="8" fillId="0" borderId="0" xfId="0" applyNumberFormat="1" applyFont="1" applyBorder="1"/>
    <xf numFmtId="0" fontId="8" fillId="0" borderId="0" xfId="0" applyNumberFormat="1" applyFont="1" applyBorder="1"/>
    <xf numFmtId="0" fontId="8" fillId="0" borderId="18" xfId="0" applyFont="1" applyBorder="1"/>
    <xf numFmtId="1" fontId="8" fillId="0" borderId="8" xfId="0" applyNumberFormat="1" applyFont="1" applyBorder="1"/>
    <xf numFmtId="0" fontId="8" fillId="0" borderId="9" xfId="0" applyFont="1" applyBorder="1"/>
    <xf numFmtId="49" fontId="8" fillId="0" borderId="9" xfId="0" applyNumberFormat="1" applyFont="1" applyBorder="1"/>
    <xf numFmtId="0" fontId="8" fillId="0" borderId="9" xfId="0" applyNumberFormat="1" applyFont="1" applyBorder="1"/>
    <xf numFmtId="0" fontId="8" fillId="0" borderId="10" xfId="0" applyFont="1" applyBorder="1"/>
    <xf numFmtId="49" fontId="8" fillId="0" borderId="3" xfId="0" applyNumberFormat="1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vertical="center"/>
    </xf>
    <xf numFmtId="49" fontId="8" fillId="0" borderId="4" xfId="0" applyNumberFormat="1" applyFont="1" applyFill="1" applyBorder="1" applyAlignment="1">
      <alignment vertical="center"/>
    </xf>
    <xf numFmtId="49" fontId="8" fillId="0" borderId="15" xfId="0" applyNumberFormat="1" applyFont="1" applyFill="1" applyBorder="1" applyAlignment="1">
      <alignment vertical="center" wrapText="1"/>
    </xf>
    <xf numFmtId="49" fontId="8" fillId="0" borderId="11" xfId="0" applyNumberFormat="1" applyFont="1" applyFill="1" applyBorder="1" applyAlignment="1">
      <alignment vertical="center" wrapText="1"/>
    </xf>
    <xf numFmtId="49" fontId="8" fillId="0" borderId="8" xfId="0" applyNumberFormat="1" applyFont="1" applyFill="1" applyBorder="1" applyAlignment="1">
      <alignment vertical="center" wrapText="1"/>
    </xf>
    <xf numFmtId="49" fontId="8" fillId="0" borderId="3" xfId="0" applyNumberFormat="1" applyFont="1" applyFill="1" applyBorder="1" applyAlignment="1">
      <alignment vertical="center" wrapText="1"/>
    </xf>
    <xf numFmtId="49" fontId="8" fillId="0" borderId="2" xfId="0" applyNumberFormat="1" applyFont="1" applyFill="1" applyBorder="1" applyAlignment="1">
      <alignment vertical="center" wrapText="1"/>
    </xf>
    <xf numFmtId="49" fontId="8" fillId="0" borderId="4" xfId="0" applyNumberFormat="1" applyFont="1" applyFill="1" applyBorder="1" applyAlignment="1">
      <alignment vertical="center" wrapText="1"/>
    </xf>
    <xf numFmtId="1" fontId="8" fillId="0" borderId="15" xfId="0" applyNumberFormat="1" applyFont="1" applyFill="1" applyBorder="1" applyAlignment="1">
      <alignment horizontal="center" vertical="center"/>
    </xf>
    <xf numFmtId="0" fontId="8" fillId="0" borderId="3" xfId="0" applyFont="1" applyFill="1" applyBorder="1"/>
    <xf numFmtId="49" fontId="8" fillId="0" borderId="3" xfId="0" applyNumberFormat="1" applyFont="1" applyFill="1" applyBorder="1" applyAlignment="1">
      <alignment horizontal="center"/>
    </xf>
    <xf numFmtId="0" fontId="8" fillId="0" borderId="17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left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49" fontId="8" fillId="0" borderId="3" xfId="0" applyNumberFormat="1" applyFont="1" applyFill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/>
    </xf>
    <xf numFmtId="1" fontId="8" fillId="0" borderId="5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6" fillId="0" borderId="3" xfId="0" applyFont="1" applyFill="1" applyBorder="1" applyAlignment="1">
      <alignment horizontal="left" indent="1"/>
    </xf>
    <xf numFmtId="0" fontId="0" fillId="4" borderId="3" xfId="0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left" vertical="center" indent="1"/>
    </xf>
    <xf numFmtId="0" fontId="0" fillId="4" borderId="4" xfId="0" applyFill="1" applyBorder="1" applyAlignment="1">
      <alignment horizontal="center"/>
    </xf>
    <xf numFmtId="0" fontId="6" fillId="0" borderId="19" xfId="0" applyFont="1" applyFill="1" applyBorder="1" applyAlignment="1">
      <alignment horizontal="left" indent="1"/>
    </xf>
    <xf numFmtId="0" fontId="0" fillId="4" borderId="20" xfId="0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left" indent="1"/>
    </xf>
    <xf numFmtId="0" fontId="6" fillId="0" borderId="24" xfId="0" applyFont="1" applyFill="1" applyBorder="1" applyAlignment="1">
      <alignment horizontal="left" indent="1"/>
    </xf>
    <xf numFmtId="0" fontId="6" fillId="0" borderId="25" xfId="0" applyFont="1" applyFill="1" applyBorder="1" applyAlignment="1">
      <alignment horizontal="left" vertical="center" indent="1"/>
    </xf>
    <xf numFmtId="0" fontId="0" fillId="4" borderId="26" xfId="0" applyFill="1" applyBorder="1" applyAlignment="1">
      <alignment horizontal="center"/>
    </xf>
    <xf numFmtId="0" fontId="3" fillId="2" borderId="0" xfId="0" applyFont="1" applyFill="1" applyBorder="1" applyAlignment="1">
      <alignment horizontal="left" indent="1"/>
    </xf>
    <xf numFmtId="0" fontId="6" fillId="4" borderId="26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5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 vertical="center" wrapText="1"/>
    </xf>
    <xf numFmtId="1" fontId="8" fillId="0" borderId="8" xfId="0" applyNumberFormat="1" applyFont="1" applyBorder="1" applyAlignment="1">
      <alignment horizontal="center" vertical="center"/>
    </xf>
    <xf numFmtId="1" fontId="8" fillId="0" borderId="9" xfId="0" applyNumberFormat="1" applyFont="1" applyBorder="1" applyAlignment="1">
      <alignment horizontal="center" vertical="center"/>
    </xf>
    <xf numFmtId="1" fontId="8" fillId="0" borderId="10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/>
    </xf>
    <xf numFmtId="1" fontId="8" fillId="0" borderId="6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/>
    </xf>
    <xf numFmtId="49" fontId="9" fillId="0" borderId="5" xfId="0" applyNumberFormat="1" applyFont="1" applyFill="1" applyBorder="1" applyAlignment="1">
      <alignment horizontal="center" vertical="center"/>
    </xf>
    <xf numFmtId="49" fontId="9" fillId="0" borderId="6" xfId="0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center"/>
    </xf>
    <xf numFmtId="1" fontId="8" fillId="0" borderId="5" xfId="0" applyNumberFormat="1" applyFont="1" applyFill="1" applyBorder="1" applyAlignment="1">
      <alignment horizontal="center" vertical="center"/>
    </xf>
    <xf numFmtId="1" fontId="8" fillId="0" borderId="6" xfId="0" applyNumberFormat="1" applyFont="1" applyFill="1" applyBorder="1" applyAlignment="1">
      <alignment horizontal="center" vertical="center"/>
    </xf>
    <xf numFmtId="1" fontId="8" fillId="0" borderId="7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/>
    </xf>
    <xf numFmtId="49" fontId="9" fillId="0" borderId="6" xfId="0" applyNumberFormat="1" applyFont="1" applyBorder="1" applyAlignment="1">
      <alignment horizontal="center"/>
    </xf>
    <xf numFmtId="49" fontId="9" fillId="0" borderId="7" xfId="0" applyNumberFormat="1" applyFont="1" applyBorder="1" applyAlignment="1">
      <alignment horizont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49" fontId="10" fillId="0" borderId="5" xfId="0" applyNumberFormat="1" applyFont="1" applyBorder="1" applyAlignment="1">
      <alignment horizontal="center"/>
    </xf>
    <xf numFmtId="49" fontId="10" fillId="0" borderId="6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4" xfId="0" applyNumberFormat="1" applyFont="1" applyBorder="1" applyAlignment="1">
      <alignment horizontal="center" vertical="center" wrapText="1"/>
    </xf>
    <xf numFmtId="49" fontId="8" fillId="0" borderId="3" xfId="0" applyNumberFormat="1" applyFont="1" applyFill="1" applyBorder="1" applyAlignment="1">
      <alignment horizontal="center" vertical="center" wrapText="1"/>
    </xf>
    <xf numFmtId="49" fontId="8" fillId="0" borderId="4" xfId="0" applyNumberFormat="1" applyFont="1" applyFill="1" applyBorder="1" applyAlignment="1">
      <alignment horizontal="center" vertical="center" wrapText="1"/>
    </xf>
    <xf numFmtId="1" fontId="8" fillId="0" borderId="5" xfId="0" applyNumberFormat="1" applyFont="1" applyBorder="1" applyAlignment="1">
      <alignment horizontal="center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49" fontId="10" fillId="0" borderId="5" xfId="0" applyNumberFormat="1" applyFont="1" applyFill="1" applyBorder="1" applyAlignment="1">
      <alignment horizontal="center"/>
    </xf>
    <xf numFmtId="49" fontId="10" fillId="0" borderId="6" xfId="0" applyNumberFormat="1" applyFont="1" applyFill="1" applyBorder="1" applyAlignment="1">
      <alignment horizontal="center"/>
    </xf>
    <xf numFmtId="49" fontId="10" fillId="0" borderId="7" xfId="0" applyNumberFormat="1" applyFont="1" applyFill="1" applyBorder="1" applyAlignment="1">
      <alignment horizontal="center"/>
    </xf>
    <xf numFmtId="49" fontId="8" fillId="0" borderId="2" xfId="0" applyNumberFormat="1" applyFont="1" applyFill="1" applyBorder="1" applyAlignment="1">
      <alignment horizontal="center" vertical="center" wrapText="1"/>
    </xf>
    <xf numFmtId="1" fontId="8" fillId="0" borderId="5" xfId="0" applyNumberFormat="1" applyFont="1" applyBorder="1" applyAlignment="1">
      <alignment horizontal="center" vertical="top"/>
    </xf>
    <xf numFmtId="1" fontId="8" fillId="0" borderId="6" xfId="0" applyNumberFormat="1" applyFont="1" applyBorder="1" applyAlignment="1">
      <alignment horizontal="center" vertical="top"/>
    </xf>
    <xf numFmtId="1" fontId="8" fillId="0" borderId="7" xfId="0" applyNumberFormat="1" applyFont="1" applyBorder="1" applyAlignment="1">
      <alignment horizontal="center" vertical="top"/>
    </xf>
    <xf numFmtId="49" fontId="10" fillId="0" borderId="1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1" fontId="11" fillId="0" borderId="3" xfId="0" applyNumberFormat="1" applyFont="1" applyFill="1" applyBorder="1" applyAlignment="1">
      <alignment horizontal="center" vertical="center"/>
    </xf>
    <xf numFmtId="1" fontId="11" fillId="0" borderId="2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5" xfId="0" applyNumberFormat="1" applyFont="1" applyBorder="1" applyAlignment="1">
      <alignment horizontal="center"/>
    </xf>
    <xf numFmtId="49" fontId="9" fillId="0" borderId="16" xfId="0" applyNumberFormat="1" applyFont="1" applyBorder="1" applyAlignment="1">
      <alignment horizontal="center"/>
    </xf>
    <xf numFmtId="49" fontId="9" fillId="0" borderId="17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 vertical="center"/>
    </xf>
    <xf numFmtId="49" fontId="8" fillId="0" borderId="3" xfId="0" applyNumberFormat="1" applyFont="1" applyFill="1" applyBorder="1" applyAlignment="1">
      <alignment horizontal="center" vertical="center"/>
    </xf>
    <xf numFmtId="49" fontId="8" fillId="0" borderId="2" xfId="0" applyNumberFormat="1" applyFont="1" applyFill="1" applyBorder="1" applyAlignment="1">
      <alignment horizontal="center" vertical="center"/>
    </xf>
    <xf numFmtId="49" fontId="8" fillId="0" borderId="4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49" fontId="9" fillId="0" borderId="5" xfId="0" applyNumberFormat="1" applyFont="1" applyFill="1" applyBorder="1" applyAlignment="1">
      <alignment horizontal="center"/>
    </xf>
    <xf numFmtId="49" fontId="9" fillId="0" borderId="6" xfId="0" applyNumberFormat="1" applyFont="1" applyFill="1" applyBorder="1" applyAlignment="1">
      <alignment horizontal="center"/>
    </xf>
    <xf numFmtId="49" fontId="9" fillId="0" borderId="7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9" fontId="8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1" fontId="1" fillId="0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/>
    </xf>
    <xf numFmtId="1" fontId="3" fillId="0" borderId="1" xfId="0" applyNumberFormat="1" applyFont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top"/>
    </xf>
    <xf numFmtId="1" fontId="1" fillId="0" borderId="9" xfId="0" applyNumberFormat="1" applyFont="1" applyBorder="1" applyAlignment="1">
      <alignment horizontal="center" vertical="top"/>
    </xf>
    <xf numFmtId="1" fontId="1" fillId="0" borderId="10" xfId="0" applyNumberFormat="1" applyFont="1" applyBorder="1" applyAlignment="1">
      <alignment horizontal="center" vertical="top"/>
    </xf>
    <xf numFmtId="49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1" fillId="0" borderId="4" xfId="0" applyNumberFormat="1" applyFont="1" applyFill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/>
    </xf>
    <xf numFmtId="1" fontId="1" fillId="0" borderId="6" xfId="0" applyNumberFormat="1" applyFont="1" applyFill="1" applyBorder="1" applyAlignment="1">
      <alignment horizontal="center" vertical="center"/>
    </xf>
    <xf numFmtId="1" fontId="1" fillId="0" borderId="7" xfId="0" applyNumberFormat="1" applyFont="1" applyFill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 vertical="center"/>
    </xf>
    <xf numFmtId="49" fontId="2" fillId="0" borderId="6" xfId="0" applyNumberFormat="1" applyFont="1" applyFill="1" applyBorder="1" applyAlignment="1">
      <alignment horizontal="center" vertical="center"/>
    </xf>
    <xf numFmtId="49" fontId="2" fillId="0" borderId="7" xfId="0" applyNumberFormat="1" applyFont="1" applyFill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/>
    </xf>
    <xf numFmtId="49" fontId="2" fillId="0" borderId="6" xfId="0" applyNumberFormat="1" applyFont="1" applyFill="1" applyBorder="1" applyAlignment="1">
      <alignment horizontal="center"/>
    </xf>
    <xf numFmtId="49" fontId="2" fillId="0" borderId="7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" fontId="5" fillId="0" borderId="3" xfId="0" applyNumberFormat="1" applyFont="1" applyFill="1" applyBorder="1" applyAlignment="1">
      <alignment horizontal="center" vertical="center"/>
    </xf>
    <xf numFmtId="1" fontId="5" fillId="0" borderId="2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/>
    </xf>
    <xf numFmtId="2" fontId="1" fillId="0" borderId="3" xfId="0" applyNumberFormat="1" applyFont="1" applyFill="1" applyBorder="1" applyAlignment="1">
      <alignment horizontal="center" vertical="center"/>
    </xf>
    <xf numFmtId="2" fontId="1" fillId="0" borderId="2" xfId="0" applyNumberFormat="1" applyFont="1" applyFill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top"/>
    </xf>
    <xf numFmtId="1" fontId="1" fillId="0" borderId="6" xfId="0" applyNumberFormat="1" applyFont="1" applyBorder="1" applyAlignment="1">
      <alignment horizontal="center" vertical="top"/>
    </xf>
    <xf numFmtId="1" fontId="1" fillId="0" borderId="7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/>
    </xf>
    <xf numFmtId="49" fontId="2" fillId="0" borderId="5" xfId="0" applyNumberFormat="1" applyFont="1" applyBorder="1" applyAlignment="1">
      <alignment horizontal="center"/>
    </xf>
    <xf numFmtId="49" fontId="2" fillId="0" borderId="6" xfId="0" applyNumberFormat="1" applyFont="1" applyBorder="1" applyAlignment="1">
      <alignment horizontal="center"/>
    </xf>
    <xf numFmtId="49" fontId="2" fillId="0" borderId="7" xfId="0" applyNumberFormat="1" applyFont="1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49" fontId="4" fillId="0" borderId="6" xfId="0" applyNumberFormat="1" applyFont="1" applyFill="1" applyBorder="1" applyAlignment="1">
      <alignment horizontal="center"/>
    </xf>
    <xf numFmtId="49" fontId="4" fillId="0" borderId="7" xfId="0" applyNumberFormat="1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/>
    </xf>
    <xf numFmtId="0" fontId="8" fillId="6" borderId="1" xfId="0" applyFont="1" applyFill="1" applyBorder="1" applyAlignment="1">
      <alignment horizontal="left"/>
    </xf>
    <xf numFmtId="0" fontId="8" fillId="6" borderId="1" xfId="0" applyFont="1" applyFill="1" applyBorder="1"/>
    <xf numFmtId="49" fontId="8" fillId="0" borderId="5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49" fontId="9" fillId="0" borderId="9" xfId="0" applyNumberFormat="1" applyFont="1" applyFill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49" fontId="8" fillId="0" borderId="7" xfId="0" applyNumberFormat="1" applyFont="1" applyFill="1" applyBorder="1"/>
    <xf numFmtId="49" fontId="8" fillId="0" borderId="7" xfId="0" applyNumberFormat="1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center"/>
    </xf>
    <xf numFmtId="2" fontId="8" fillId="0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center" wrapText="1"/>
    </xf>
    <xf numFmtId="0" fontId="8" fillId="0" borderId="7" xfId="0" applyFont="1" applyBorder="1"/>
    <xf numFmtId="1" fontId="11" fillId="0" borderId="1" xfId="0" applyNumberFormat="1" applyFont="1" applyFill="1" applyBorder="1" applyAlignment="1">
      <alignment vertical="center"/>
    </xf>
    <xf numFmtId="2" fontId="8" fillId="0" borderId="15" xfId="0" applyNumberFormat="1" applyFont="1" applyFill="1" applyBorder="1" applyAlignment="1">
      <alignment vertical="center"/>
    </xf>
    <xf numFmtId="2" fontId="8" fillId="0" borderId="11" xfId="0" applyNumberFormat="1" applyFont="1" applyFill="1" applyBorder="1" applyAlignment="1">
      <alignment vertical="center"/>
    </xf>
    <xf numFmtId="49" fontId="8" fillId="0" borderId="16" xfId="0" applyNumberFormat="1" applyFont="1" applyFill="1" applyBorder="1" applyAlignment="1">
      <alignment vertical="center" wrapText="1"/>
    </xf>
    <xf numFmtId="49" fontId="8" fillId="0" borderId="0" xfId="0" applyNumberFormat="1" applyFont="1" applyFill="1" applyBorder="1" applyAlignment="1">
      <alignment vertical="center" wrapText="1"/>
    </xf>
    <xf numFmtId="1" fontId="11" fillId="0" borderId="4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  <xf numFmtId="49" fontId="9" fillId="6" borderId="7" xfId="0" applyNumberFormat="1" applyFont="1" applyFill="1" applyBorder="1" applyAlignment="1">
      <alignment horizontal="center"/>
    </xf>
    <xf numFmtId="0" fontId="13" fillId="0" borderId="0" xfId="0" applyFont="1"/>
    <xf numFmtId="0" fontId="14" fillId="0" borderId="0" xfId="0" applyFont="1"/>
  </cellXfs>
  <cellStyles count="1">
    <cellStyle name="Обычный" xfId="0" builtinId="0"/>
  </cellStyles>
  <dxfs count="146">
    <dxf>
      <font>
        <color theme="1"/>
      </font>
      <fill>
        <patternFill>
          <bgColor theme="0"/>
        </patternFill>
      </fill>
    </dxf>
    <dxf>
      <font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0"/>
        </patternFill>
      </fill>
    </dxf>
    <dxf>
      <font>
        <color auto="1"/>
      </font>
    </dxf>
    <dxf>
      <font>
        <color auto="1"/>
      </font>
    </dxf>
    <dxf>
      <font>
        <color theme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ont>
        <color theme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Z435"/>
  <sheetViews>
    <sheetView zoomScaleNormal="100" workbookViewId="0">
      <pane ySplit="2" topLeftCell="A3" activePane="bottomLeft" state="frozen"/>
      <selection pane="bottomLeft" activeCell="L45" sqref="L45"/>
    </sheetView>
  </sheetViews>
  <sheetFormatPr defaultColWidth="9.109375" defaultRowHeight="12" outlineLevelRow="1" x14ac:dyDescent="0.25"/>
  <cols>
    <col min="1" max="1" width="6.6640625" style="81" customWidth="1"/>
    <col min="2" max="2" width="6" style="82" customWidth="1"/>
    <col min="3" max="3" width="8.88671875" style="84" customWidth="1"/>
    <col min="4" max="4" width="54.5546875" style="82" bestFit="1" customWidth="1"/>
    <col min="5" max="5" width="13.109375" style="82" customWidth="1"/>
    <col min="6" max="6" width="6.5546875" style="82" customWidth="1"/>
    <col min="7" max="7" width="7.44140625" style="82" customWidth="1"/>
    <col min="8" max="8" width="6.6640625" style="82" customWidth="1"/>
    <col min="9" max="9" width="8.5546875" style="83" customWidth="1"/>
    <col min="10" max="10" width="33" style="82" customWidth="1"/>
    <col min="11" max="11" width="13.6640625" style="103" customWidth="1"/>
    <col min="12" max="12" width="14.6640625" style="104" customWidth="1"/>
    <col min="13" max="13" width="14.5546875" style="82" customWidth="1"/>
    <col min="14" max="14" width="7.5546875" style="82" customWidth="1"/>
    <col min="15" max="15" width="8.5546875" style="82" customWidth="1"/>
    <col min="16" max="16" width="8.6640625" style="98" customWidth="1"/>
    <col min="17" max="17" width="8.6640625" style="82" customWidth="1"/>
    <col min="18" max="18" width="9.33203125" style="82" customWidth="1"/>
    <col min="19" max="19" width="6" style="82" customWidth="1"/>
    <col min="20" max="20" width="10.44140625" style="82" customWidth="1"/>
    <col min="21" max="21" width="7" style="82" customWidth="1"/>
    <col min="22" max="16384" width="9.109375" style="82"/>
  </cols>
  <sheetData>
    <row r="1" spans="1:23" ht="30.75" customHeight="1" x14ac:dyDescent="0.25">
      <c r="A1" s="321" t="s">
        <v>57</v>
      </c>
      <c r="B1" s="321"/>
      <c r="C1" s="321"/>
      <c r="D1" s="309" t="s">
        <v>0</v>
      </c>
      <c r="E1" s="309" t="s">
        <v>26</v>
      </c>
      <c r="F1" s="309" t="s">
        <v>27</v>
      </c>
      <c r="G1" s="319" t="s">
        <v>1</v>
      </c>
      <c r="H1" s="317" t="s">
        <v>58</v>
      </c>
      <c r="I1" s="318"/>
      <c r="J1" s="309" t="s">
        <v>50</v>
      </c>
      <c r="K1" s="308" t="s">
        <v>204</v>
      </c>
      <c r="L1" s="251" t="s">
        <v>205</v>
      </c>
      <c r="M1" s="251" t="s">
        <v>206</v>
      </c>
      <c r="N1" s="251" t="s">
        <v>455</v>
      </c>
      <c r="O1" s="250"/>
      <c r="P1" s="251" t="s">
        <v>588</v>
      </c>
      <c r="T1" s="82" t="s">
        <v>343</v>
      </c>
      <c r="V1" s="82" t="s">
        <v>344</v>
      </c>
      <c r="W1" s="82" t="s">
        <v>345</v>
      </c>
    </row>
    <row r="2" spans="1:23" ht="30.75" customHeight="1" x14ac:dyDescent="0.25">
      <c r="A2" s="99" t="s">
        <v>6</v>
      </c>
      <c r="B2" s="100" t="s">
        <v>5</v>
      </c>
      <c r="C2" s="101" t="s">
        <v>11</v>
      </c>
      <c r="D2" s="309"/>
      <c r="E2" s="309"/>
      <c r="F2" s="309"/>
      <c r="G2" s="320"/>
      <c r="H2" s="100" t="s">
        <v>5</v>
      </c>
      <c r="I2" s="102" t="s">
        <v>11</v>
      </c>
      <c r="J2" s="309"/>
      <c r="K2" s="308"/>
      <c r="L2" s="251"/>
      <c r="M2" s="251"/>
      <c r="N2" s="251"/>
      <c r="O2" s="250"/>
      <c r="P2" s="251"/>
    </row>
    <row r="3" spans="1:23" x14ac:dyDescent="0.25">
      <c r="A3" s="265" t="s">
        <v>313</v>
      </c>
      <c r="B3" s="266"/>
      <c r="C3" s="266"/>
      <c r="D3" s="266"/>
      <c r="E3" s="266"/>
      <c r="F3" s="266"/>
      <c r="G3" s="266"/>
      <c r="H3" s="266"/>
      <c r="I3" s="266"/>
      <c r="J3" s="267"/>
    </row>
    <row r="4" spans="1:23" ht="15" hidden="1" customHeight="1" outlineLevel="1" x14ac:dyDescent="0.25">
      <c r="A4" s="277">
        <v>13</v>
      </c>
      <c r="B4" s="268" t="s">
        <v>7</v>
      </c>
      <c r="C4" s="86" t="s">
        <v>12</v>
      </c>
      <c r="D4" s="105" t="str">
        <f>CONCATENATE("1F",P4," ",Q4)</f>
        <v>1F2 Положение</v>
      </c>
      <c r="E4" s="92" t="s">
        <v>207</v>
      </c>
      <c r="F4" s="278" t="s">
        <v>28</v>
      </c>
      <c r="G4" s="281" t="s">
        <v>329</v>
      </c>
      <c r="H4" s="282" t="s">
        <v>59</v>
      </c>
      <c r="I4" s="106">
        <v>4096</v>
      </c>
      <c r="J4" s="107" t="str">
        <f>IF(OR(D4="",D4="-"),"-",CONCATENATE("SPT",K4,"/",N4,L4,".",M4))</f>
        <v>SPT103DC/P2A14_GGIO20.Ind1</v>
      </c>
      <c r="K4" s="177" t="s">
        <v>583</v>
      </c>
      <c r="L4" s="178" t="s">
        <v>525</v>
      </c>
      <c r="M4" s="104" t="s">
        <v>36</v>
      </c>
      <c r="N4" s="179" t="s">
        <v>524</v>
      </c>
      <c r="P4" s="98">
        <v>2</v>
      </c>
      <c r="Q4" s="82" t="s">
        <v>209</v>
      </c>
      <c r="S4" s="82">
        <f>I4-4095</f>
        <v>1</v>
      </c>
      <c r="T4" s="82" t="str">
        <f>_xlfn.CONCAT($T$1,S4)</f>
        <v>lb_dd1</v>
      </c>
      <c r="U4" s="82">
        <f>S4+1999</f>
        <v>2000</v>
      </c>
      <c r="V4" s="82">
        <v>801</v>
      </c>
      <c r="W4" s="82">
        <v>1050</v>
      </c>
    </row>
    <row r="5" spans="1:23" hidden="1" outlineLevel="1" x14ac:dyDescent="0.25">
      <c r="A5" s="277"/>
      <c r="B5" s="268"/>
      <c r="C5" s="86" t="s">
        <v>8</v>
      </c>
      <c r="D5" s="105" t="str">
        <f t="shared" ref="D5:D17" si="0">CONCATENATE("1F",P5," ",Q5)</f>
        <v>1F2 Состояние</v>
      </c>
      <c r="E5" s="92" t="s">
        <v>208</v>
      </c>
      <c r="F5" s="279"/>
      <c r="G5" s="281"/>
      <c r="H5" s="283"/>
      <c r="I5" s="106">
        <v>4097</v>
      </c>
      <c r="J5" s="107" t="str">
        <f t="shared" ref="J5:J19" si="1">IF(OR(D5="",D5="-"),"-",CONCATENATE("SPT",K5,"/",N5,L5,".",M5))</f>
        <v>SPT103DC/P2A14_GGIO20.Alm1</v>
      </c>
      <c r="K5" s="103" t="str">
        <f>K4</f>
        <v>103DC</v>
      </c>
      <c r="L5" s="104" t="str">
        <f>L4</f>
        <v>GGIO20</v>
      </c>
      <c r="M5" s="108" t="s">
        <v>37</v>
      </c>
      <c r="N5" s="82" t="str">
        <f>N4</f>
        <v>P2A14_</v>
      </c>
      <c r="P5" s="98">
        <v>2</v>
      </c>
      <c r="Q5" s="82" t="s">
        <v>210</v>
      </c>
      <c r="S5" s="82">
        <f t="shared" ref="S5:S19" si="2">I5-4095</f>
        <v>2</v>
      </c>
      <c r="T5" s="82" t="str">
        <f t="shared" ref="T5:T19" si="3">_xlfn.CONCAT($T$1,S5)</f>
        <v>lb_dd2</v>
      </c>
      <c r="U5" s="82">
        <f t="shared" ref="U5:U19" si="4">S5+1999</f>
        <v>2001</v>
      </c>
    </row>
    <row r="6" spans="1:23" hidden="1" outlineLevel="1" x14ac:dyDescent="0.25">
      <c r="A6" s="277"/>
      <c r="B6" s="268"/>
      <c r="C6" s="86" t="s">
        <v>9</v>
      </c>
      <c r="D6" s="105" t="str">
        <f t="shared" si="0"/>
        <v>1F3 Положение</v>
      </c>
      <c r="E6" s="92" t="s">
        <v>207</v>
      </c>
      <c r="F6" s="279"/>
      <c r="G6" s="281"/>
      <c r="H6" s="283"/>
      <c r="I6" s="106">
        <v>4098</v>
      </c>
      <c r="J6" s="107" t="str">
        <f t="shared" si="1"/>
        <v>SPT103DC/P2A14_GGIO20.Ind2</v>
      </c>
      <c r="K6" s="103" t="str">
        <f t="shared" ref="K6:K19" si="5">K5</f>
        <v>103DC</v>
      </c>
      <c r="L6" s="104" t="str">
        <f t="shared" ref="L6:L19" si="6">L5</f>
        <v>GGIO20</v>
      </c>
      <c r="M6" s="104" t="s">
        <v>38</v>
      </c>
      <c r="N6" s="82" t="str">
        <f t="shared" ref="N6:N19" si="7">N5</f>
        <v>P2A14_</v>
      </c>
      <c r="P6" s="98">
        <v>3</v>
      </c>
      <c r="Q6" s="82" t="s">
        <v>209</v>
      </c>
      <c r="S6" s="82">
        <f t="shared" si="2"/>
        <v>3</v>
      </c>
      <c r="T6" s="82" t="str">
        <f t="shared" si="3"/>
        <v>lb_dd3</v>
      </c>
      <c r="U6" s="82">
        <f t="shared" si="4"/>
        <v>2002</v>
      </c>
    </row>
    <row r="7" spans="1:23" hidden="1" outlineLevel="1" x14ac:dyDescent="0.25">
      <c r="A7" s="277"/>
      <c r="B7" s="268"/>
      <c r="C7" s="86" t="s">
        <v>13</v>
      </c>
      <c r="D7" s="105" t="str">
        <f t="shared" si="0"/>
        <v>1F3 Состояние</v>
      </c>
      <c r="E7" s="92" t="s">
        <v>208</v>
      </c>
      <c r="F7" s="279"/>
      <c r="G7" s="281"/>
      <c r="H7" s="283"/>
      <c r="I7" s="106">
        <v>4099</v>
      </c>
      <c r="J7" s="107" t="str">
        <f t="shared" si="1"/>
        <v>SPT103DC/P2A14_GGIO20.Alm2</v>
      </c>
      <c r="K7" s="103" t="str">
        <f t="shared" si="5"/>
        <v>103DC</v>
      </c>
      <c r="L7" s="104" t="str">
        <f t="shared" si="6"/>
        <v>GGIO20</v>
      </c>
      <c r="M7" s="108" t="s">
        <v>39</v>
      </c>
      <c r="N7" s="82" t="str">
        <f t="shared" si="7"/>
        <v>P2A14_</v>
      </c>
      <c r="P7" s="98">
        <v>3</v>
      </c>
      <c r="Q7" s="82" t="s">
        <v>210</v>
      </c>
      <c r="S7" s="82">
        <f t="shared" si="2"/>
        <v>4</v>
      </c>
      <c r="T7" s="82" t="str">
        <f t="shared" si="3"/>
        <v>lb_dd4</v>
      </c>
      <c r="U7" s="82">
        <f t="shared" si="4"/>
        <v>2003</v>
      </c>
    </row>
    <row r="8" spans="1:23" hidden="1" outlineLevel="1" x14ac:dyDescent="0.25">
      <c r="A8" s="277"/>
      <c r="B8" s="268"/>
      <c r="C8" s="86" t="s">
        <v>14</v>
      </c>
      <c r="D8" s="105" t="str">
        <f t="shared" si="0"/>
        <v>1F4 Положение</v>
      </c>
      <c r="E8" s="92" t="s">
        <v>207</v>
      </c>
      <c r="F8" s="279"/>
      <c r="G8" s="281"/>
      <c r="H8" s="283"/>
      <c r="I8" s="106">
        <v>4100</v>
      </c>
      <c r="J8" s="107" t="str">
        <f t="shared" si="1"/>
        <v>SPT103DC/P2A14_GGIO20.Ind3</v>
      </c>
      <c r="K8" s="103" t="str">
        <f t="shared" si="5"/>
        <v>103DC</v>
      </c>
      <c r="L8" s="104" t="str">
        <f t="shared" si="6"/>
        <v>GGIO20</v>
      </c>
      <c r="M8" s="104" t="s">
        <v>40</v>
      </c>
      <c r="N8" s="82" t="str">
        <f t="shared" si="7"/>
        <v>P2A14_</v>
      </c>
      <c r="P8" s="98">
        <v>4</v>
      </c>
      <c r="Q8" s="82" t="s">
        <v>209</v>
      </c>
      <c r="S8" s="82">
        <f t="shared" si="2"/>
        <v>5</v>
      </c>
      <c r="T8" s="82" t="str">
        <f t="shared" si="3"/>
        <v>lb_dd5</v>
      </c>
      <c r="U8" s="82">
        <f t="shared" si="4"/>
        <v>2004</v>
      </c>
    </row>
    <row r="9" spans="1:23" hidden="1" outlineLevel="1" x14ac:dyDescent="0.25">
      <c r="A9" s="277"/>
      <c r="B9" s="268"/>
      <c r="C9" s="86" t="s">
        <v>15</v>
      </c>
      <c r="D9" s="105" t="str">
        <f t="shared" si="0"/>
        <v>1F4 Состояние</v>
      </c>
      <c r="E9" s="92" t="s">
        <v>208</v>
      </c>
      <c r="F9" s="279"/>
      <c r="G9" s="281"/>
      <c r="H9" s="283"/>
      <c r="I9" s="106">
        <v>4101</v>
      </c>
      <c r="J9" s="107" t="str">
        <f t="shared" si="1"/>
        <v>SPT103DC/P2A14_GGIO20.Alm3</v>
      </c>
      <c r="K9" s="103" t="str">
        <f t="shared" si="5"/>
        <v>103DC</v>
      </c>
      <c r="L9" s="104" t="str">
        <f t="shared" si="6"/>
        <v>GGIO20</v>
      </c>
      <c r="M9" s="108" t="s">
        <v>41</v>
      </c>
      <c r="N9" s="82" t="str">
        <f t="shared" si="7"/>
        <v>P2A14_</v>
      </c>
      <c r="P9" s="98">
        <v>4</v>
      </c>
      <c r="Q9" s="82" t="s">
        <v>210</v>
      </c>
      <c r="S9" s="82">
        <f t="shared" si="2"/>
        <v>6</v>
      </c>
      <c r="T9" s="82" t="str">
        <f t="shared" si="3"/>
        <v>lb_dd6</v>
      </c>
      <c r="U9" s="82">
        <f t="shared" si="4"/>
        <v>2005</v>
      </c>
    </row>
    <row r="10" spans="1:23" hidden="1" outlineLevel="1" x14ac:dyDescent="0.25">
      <c r="A10" s="277"/>
      <c r="B10" s="268"/>
      <c r="C10" s="86" t="s">
        <v>16</v>
      </c>
      <c r="D10" s="105" t="str">
        <f t="shared" si="0"/>
        <v>1F3.1 Положение</v>
      </c>
      <c r="E10" s="92" t="s">
        <v>207</v>
      </c>
      <c r="F10" s="279"/>
      <c r="G10" s="281"/>
      <c r="H10" s="283"/>
      <c r="I10" s="106">
        <v>4102</v>
      </c>
      <c r="J10" s="107" t="str">
        <f t="shared" si="1"/>
        <v>SPT103DC/P2A14_GGIO20.Ind4</v>
      </c>
      <c r="K10" s="103" t="str">
        <f t="shared" si="5"/>
        <v>103DC</v>
      </c>
      <c r="L10" s="104" t="str">
        <f t="shared" si="6"/>
        <v>GGIO20</v>
      </c>
      <c r="M10" s="104" t="s">
        <v>42</v>
      </c>
      <c r="N10" s="82" t="str">
        <f t="shared" si="7"/>
        <v>P2A14_</v>
      </c>
      <c r="P10" s="109" t="s">
        <v>291</v>
      </c>
      <c r="Q10" s="82" t="s">
        <v>209</v>
      </c>
      <c r="S10" s="82">
        <f t="shared" si="2"/>
        <v>7</v>
      </c>
      <c r="T10" s="82" t="str">
        <f t="shared" si="3"/>
        <v>lb_dd7</v>
      </c>
      <c r="U10" s="82">
        <f t="shared" si="4"/>
        <v>2006</v>
      </c>
    </row>
    <row r="11" spans="1:23" hidden="1" outlineLevel="1" x14ac:dyDescent="0.25">
      <c r="A11" s="277"/>
      <c r="B11" s="268"/>
      <c r="C11" s="86" t="s">
        <v>17</v>
      </c>
      <c r="D11" s="105" t="str">
        <f t="shared" si="0"/>
        <v>1F3.1 Состояние</v>
      </c>
      <c r="E11" s="92" t="s">
        <v>208</v>
      </c>
      <c r="F11" s="279"/>
      <c r="G11" s="281"/>
      <c r="H11" s="283"/>
      <c r="I11" s="106">
        <v>4103</v>
      </c>
      <c r="J11" s="107" t="str">
        <f t="shared" si="1"/>
        <v>SPT103DC/P2A14_GGIO20.Alm4</v>
      </c>
      <c r="K11" s="103" t="str">
        <f t="shared" si="5"/>
        <v>103DC</v>
      </c>
      <c r="L11" s="104" t="str">
        <f t="shared" si="6"/>
        <v>GGIO20</v>
      </c>
      <c r="M11" s="108" t="s">
        <v>43</v>
      </c>
      <c r="N11" s="82" t="str">
        <f t="shared" si="7"/>
        <v>P2A14_</v>
      </c>
      <c r="P11" s="109" t="s">
        <v>291</v>
      </c>
      <c r="Q11" s="82" t="s">
        <v>210</v>
      </c>
      <c r="S11" s="82">
        <f t="shared" si="2"/>
        <v>8</v>
      </c>
      <c r="T11" s="82" t="str">
        <f t="shared" si="3"/>
        <v>lb_dd8</v>
      </c>
      <c r="U11" s="82">
        <f t="shared" si="4"/>
        <v>2007</v>
      </c>
    </row>
    <row r="12" spans="1:23" hidden="1" outlineLevel="1" x14ac:dyDescent="0.25">
      <c r="A12" s="277"/>
      <c r="B12" s="268"/>
      <c r="C12" s="86" t="s">
        <v>18</v>
      </c>
      <c r="D12" s="105" t="str">
        <f t="shared" si="0"/>
        <v>1F3.2 Положение</v>
      </c>
      <c r="E12" s="92" t="s">
        <v>207</v>
      </c>
      <c r="F12" s="279"/>
      <c r="G12" s="281"/>
      <c r="H12" s="283"/>
      <c r="I12" s="106">
        <v>4104</v>
      </c>
      <c r="J12" s="107" t="str">
        <f t="shared" si="1"/>
        <v>SPT103DC/P2A14_GGIO20.Ind5</v>
      </c>
      <c r="K12" s="103" t="str">
        <f t="shared" si="5"/>
        <v>103DC</v>
      </c>
      <c r="L12" s="104" t="str">
        <f t="shared" si="6"/>
        <v>GGIO20</v>
      </c>
      <c r="M12" s="104" t="s">
        <v>44</v>
      </c>
      <c r="N12" s="82" t="str">
        <f t="shared" si="7"/>
        <v>P2A14_</v>
      </c>
      <c r="P12" s="109" t="s">
        <v>292</v>
      </c>
      <c r="Q12" s="82" t="s">
        <v>209</v>
      </c>
      <c r="S12" s="82">
        <f t="shared" si="2"/>
        <v>9</v>
      </c>
      <c r="T12" s="82" t="str">
        <f t="shared" si="3"/>
        <v>lb_dd9</v>
      </c>
      <c r="U12" s="82">
        <f t="shared" si="4"/>
        <v>2008</v>
      </c>
    </row>
    <row r="13" spans="1:23" hidden="1" outlineLevel="1" x14ac:dyDescent="0.25">
      <c r="A13" s="277"/>
      <c r="B13" s="268"/>
      <c r="C13" s="86" t="s">
        <v>19</v>
      </c>
      <c r="D13" s="105" t="str">
        <f>CONCATENATE("1F",P13," ",Q13)</f>
        <v>1F3.2 Состояние</v>
      </c>
      <c r="E13" s="92" t="s">
        <v>208</v>
      </c>
      <c r="F13" s="279"/>
      <c r="G13" s="281"/>
      <c r="H13" s="283"/>
      <c r="I13" s="106">
        <v>4105</v>
      </c>
      <c r="J13" s="107" t="str">
        <f t="shared" si="1"/>
        <v>SPT103DC/P2A14_GGIO20.Alm5</v>
      </c>
      <c r="K13" s="103" t="str">
        <f t="shared" si="5"/>
        <v>103DC</v>
      </c>
      <c r="L13" s="104" t="str">
        <f t="shared" si="6"/>
        <v>GGIO20</v>
      </c>
      <c r="M13" s="108" t="s">
        <v>45</v>
      </c>
      <c r="N13" s="82" t="str">
        <f t="shared" si="7"/>
        <v>P2A14_</v>
      </c>
      <c r="P13" s="109" t="s">
        <v>292</v>
      </c>
      <c r="Q13" s="82" t="s">
        <v>210</v>
      </c>
      <c r="S13" s="82">
        <f t="shared" si="2"/>
        <v>10</v>
      </c>
      <c r="T13" s="82" t="str">
        <f t="shared" si="3"/>
        <v>lb_dd10</v>
      </c>
      <c r="U13" s="82">
        <f t="shared" si="4"/>
        <v>2009</v>
      </c>
    </row>
    <row r="14" spans="1:23" hidden="1" outlineLevel="1" x14ac:dyDescent="0.25">
      <c r="A14" s="277"/>
      <c r="B14" s="268"/>
      <c r="C14" s="86" t="s">
        <v>20</v>
      </c>
      <c r="D14" s="105" t="str">
        <f t="shared" si="0"/>
        <v>1F5 Положение</v>
      </c>
      <c r="E14" s="92" t="s">
        <v>207</v>
      </c>
      <c r="F14" s="279"/>
      <c r="G14" s="281"/>
      <c r="H14" s="283"/>
      <c r="I14" s="106">
        <v>4106</v>
      </c>
      <c r="J14" s="107" t="str">
        <f t="shared" si="1"/>
        <v>SPT103DC/P2A14_GGIO20.Ind6</v>
      </c>
      <c r="K14" s="103" t="str">
        <f t="shared" si="5"/>
        <v>103DC</v>
      </c>
      <c r="L14" s="104" t="str">
        <f t="shared" si="6"/>
        <v>GGIO20</v>
      </c>
      <c r="M14" s="104" t="s">
        <v>46</v>
      </c>
      <c r="N14" s="82" t="str">
        <f t="shared" si="7"/>
        <v>P2A14_</v>
      </c>
      <c r="P14" s="109">
        <v>5</v>
      </c>
      <c r="Q14" s="82" t="s">
        <v>209</v>
      </c>
      <c r="S14" s="82">
        <f t="shared" si="2"/>
        <v>11</v>
      </c>
      <c r="T14" s="82" t="str">
        <f t="shared" si="3"/>
        <v>lb_dd11</v>
      </c>
      <c r="U14" s="82">
        <f t="shared" si="4"/>
        <v>2010</v>
      </c>
    </row>
    <row r="15" spans="1:23" hidden="1" outlineLevel="1" x14ac:dyDescent="0.25">
      <c r="A15" s="277"/>
      <c r="B15" s="268"/>
      <c r="C15" s="86" t="s">
        <v>21</v>
      </c>
      <c r="D15" s="105" t="str">
        <f t="shared" si="0"/>
        <v>1F5 Состояние</v>
      </c>
      <c r="E15" s="92" t="s">
        <v>208</v>
      </c>
      <c r="F15" s="279"/>
      <c r="G15" s="281"/>
      <c r="H15" s="283"/>
      <c r="I15" s="106">
        <v>4107</v>
      </c>
      <c r="J15" s="107" t="str">
        <f t="shared" si="1"/>
        <v>SPT103DC/P2A14_GGIO20.Alm6</v>
      </c>
      <c r="K15" s="103" t="str">
        <f t="shared" si="5"/>
        <v>103DC</v>
      </c>
      <c r="L15" s="104" t="str">
        <f t="shared" si="6"/>
        <v>GGIO20</v>
      </c>
      <c r="M15" s="108" t="s">
        <v>47</v>
      </c>
      <c r="N15" s="82" t="str">
        <f t="shared" si="7"/>
        <v>P2A14_</v>
      </c>
      <c r="P15" s="109" t="s">
        <v>15</v>
      </c>
      <c r="Q15" s="82" t="s">
        <v>210</v>
      </c>
      <c r="S15" s="82">
        <f t="shared" si="2"/>
        <v>12</v>
      </c>
      <c r="T15" s="82" t="str">
        <f t="shared" si="3"/>
        <v>lb_dd12</v>
      </c>
      <c r="U15" s="82">
        <f t="shared" si="4"/>
        <v>2011</v>
      </c>
    </row>
    <row r="16" spans="1:23" hidden="1" outlineLevel="1" x14ac:dyDescent="0.25">
      <c r="A16" s="277"/>
      <c r="B16" s="268"/>
      <c r="C16" s="86" t="s">
        <v>22</v>
      </c>
      <c r="D16" s="105" t="str">
        <f t="shared" si="0"/>
        <v>1F6 Положение</v>
      </c>
      <c r="E16" s="92" t="s">
        <v>207</v>
      </c>
      <c r="F16" s="279"/>
      <c r="G16" s="281"/>
      <c r="H16" s="283"/>
      <c r="I16" s="106">
        <v>4108</v>
      </c>
      <c r="J16" s="107" t="str">
        <f t="shared" si="1"/>
        <v>SPT103DC/P2A14_GGIO20.Ind7</v>
      </c>
      <c r="K16" s="103" t="str">
        <f t="shared" si="5"/>
        <v>103DC</v>
      </c>
      <c r="L16" s="104" t="str">
        <f t="shared" si="6"/>
        <v>GGIO20</v>
      </c>
      <c r="M16" s="104" t="s">
        <v>48</v>
      </c>
      <c r="N16" s="82" t="str">
        <f t="shared" si="7"/>
        <v>P2A14_</v>
      </c>
      <c r="P16" s="109" t="s">
        <v>16</v>
      </c>
      <c r="Q16" s="82" t="s">
        <v>209</v>
      </c>
      <c r="S16" s="82">
        <f t="shared" si="2"/>
        <v>13</v>
      </c>
      <c r="T16" s="82" t="str">
        <f t="shared" si="3"/>
        <v>lb_dd13</v>
      </c>
      <c r="U16" s="82">
        <f t="shared" si="4"/>
        <v>2012</v>
      </c>
    </row>
    <row r="17" spans="1:21" hidden="1" outlineLevel="1" x14ac:dyDescent="0.25">
      <c r="A17" s="277"/>
      <c r="B17" s="268"/>
      <c r="C17" s="86" t="s">
        <v>23</v>
      </c>
      <c r="D17" s="105" t="str">
        <f t="shared" si="0"/>
        <v>1F6 Состояние</v>
      </c>
      <c r="E17" s="92" t="s">
        <v>208</v>
      </c>
      <c r="F17" s="279"/>
      <c r="G17" s="281"/>
      <c r="H17" s="283"/>
      <c r="I17" s="106">
        <v>4109</v>
      </c>
      <c r="J17" s="107" t="str">
        <f t="shared" si="1"/>
        <v>SPT103DC/P2A14_GGIO20.Alm7</v>
      </c>
      <c r="K17" s="103" t="str">
        <f t="shared" si="5"/>
        <v>103DC</v>
      </c>
      <c r="L17" s="104" t="str">
        <f t="shared" si="6"/>
        <v>GGIO20</v>
      </c>
      <c r="M17" s="108" t="s">
        <v>49</v>
      </c>
      <c r="N17" s="82" t="str">
        <f t="shared" si="7"/>
        <v>P2A14_</v>
      </c>
      <c r="P17" s="109" t="s">
        <v>16</v>
      </c>
      <c r="Q17" s="82" t="s">
        <v>210</v>
      </c>
      <c r="S17" s="82">
        <f t="shared" si="2"/>
        <v>14</v>
      </c>
      <c r="T17" s="82" t="str">
        <f t="shared" si="3"/>
        <v>lb_dd14</v>
      </c>
      <c r="U17" s="82">
        <f t="shared" si="4"/>
        <v>2013</v>
      </c>
    </row>
    <row r="18" spans="1:21" ht="12.6" hidden="1" outlineLevel="1" thickBot="1" x14ac:dyDescent="0.3">
      <c r="A18" s="277"/>
      <c r="B18" s="268"/>
      <c r="C18" s="86" t="s">
        <v>24</v>
      </c>
      <c r="D18" s="154" t="s">
        <v>456</v>
      </c>
      <c r="E18" s="155" t="s">
        <v>207</v>
      </c>
      <c r="F18" s="279"/>
      <c r="G18" s="281"/>
      <c r="H18" s="283"/>
      <c r="I18" s="106">
        <v>4110</v>
      </c>
      <c r="J18" s="107" t="str">
        <f t="shared" si="1"/>
        <v>SPT103DC/P2A14_GGIO20.Ind8</v>
      </c>
      <c r="K18" s="103" t="str">
        <f t="shared" si="5"/>
        <v>103DC</v>
      </c>
      <c r="L18" s="104" t="str">
        <f t="shared" si="6"/>
        <v>GGIO20</v>
      </c>
      <c r="M18" s="104" t="s">
        <v>55</v>
      </c>
      <c r="N18" s="82" t="str">
        <f t="shared" si="7"/>
        <v>P2A14_</v>
      </c>
      <c r="P18" s="109" t="s">
        <v>17</v>
      </c>
      <c r="Q18" s="82" t="s">
        <v>209</v>
      </c>
      <c r="S18" s="82">
        <f t="shared" si="2"/>
        <v>15</v>
      </c>
      <c r="T18" s="82" t="str">
        <f t="shared" si="3"/>
        <v>lb_dd15</v>
      </c>
      <c r="U18" s="82">
        <f t="shared" si="4"/>
        <v>2014</v>
      </c>
    </row>
    <row r="19" spans="1:21" hidden="1" outlineLevel="1" x14ac:dyDescent="0.25">
      <c r="A19" s="277"/>
      <c r="B19" s="268"/>
      <c r="C19" s="86" t="s">
        <v>25</v>
      </c>
      <c r="D19" s="105" t="s">
        <v>293</v>
      </c>
      <c r="E19" s="92" t="s">
        <v>208</v>
      </c>
      <c r="F19" s="280"/>
      <c r="G19" s="281"/>
      <c r="H19" s="284"/>
      <c r="I19" s="106">
        <v>4111</v>
      </c>
      <c r="J19" s="107" t="str">
        <f t="shared" si="1"/>
        <v>SPT103DC/P2A14_GGIO20.Alm8</v>
      </c>
      <c r="K19" s="103" t="str">
        <f t="shared" si="5"/>
        <v>103DC</v>
      </c>
      <c r="L19" s="104" t="str">
        <f t="shared" si="6"/>
        <v>GGIO20</v>
      </c>
      <c r="M19" s="108" t="s">
        <v>56</v>
      </c>
      <c r="N19" s="82" t="str">
        <f t="shared" si="7"/>
        <v>P2A14_</v>
      </c>
      <c r="P19" s="109" t="s">
        <v>17</v>
      </c>
      <c r="Q19" s="82" t="s">
        <v>210</v>
      </c>
      <c r="S19" s="82">
        <f t="shared" si="2"/>
        <v>16</v>
      </c>
      <c r="T19" s="82" t="str">
        <f t="shared" si="3"/>
        <v>lb_dd16</v>
      </c>
      <c r="U19" s="82">
        <f t="shared" si="4"/>
        <v>2015</v>
      </c>
    </row>
    <row r="20" spans="1:21" collapsed="1" x14ac:dyDescent="0.25">
      <c r="A20" s="290"/>
      <c r="B20" s="290"/>
      <c r="C20" s="290"/>
      <c r="D20" s="290"/>
      <c r="E20" s="290"/>
      <c r="F20" s="290"/>
      <c r="G20" s="290"/>
      <c r="H20" s="290"/>
      <c r="I20" s="290"/>
      <c r="J20" s="290"/>
    </row>
    <row r="21" spans="1:21" ht="12.6" thickBot="1" x14ac:dyDescent="0.3">
      <c r="A21" s="310" t="s">
        <v>459</v>
      </c>
      <c r="B21" s="311"/>
      <c r="C21" s="311"/>
      <c r="D21" s="311"/>
      <c r="E21" s="311"/>
      <c r="F21" s="311"/>
      <c r="G21" s="311"/>
      <c r="H21" s="311"/>
      <c r="I21" s="311"/>
      <c r="J21" s="312"/>
    </row>
    <row r="22" spans="1:21" ht="12.6" thickBot="1" x14ac:dyDescent="0.3">
      <c r="A22" s="277">
        <v>13</v>
      </c>
      <c r="B22" s="268" t="s">
        <v>7</v>
      </c>
      <c r="C22" s="86" t="s">
        <v>8</v>
      </c>
      <c r="D22" s="154" t="s">
        <v>496</v>
      </c>
      <c r="E22" s="92" t="s">
        <v>207</v>
      </c>
      <c r="F22" s="278" t="s">
        <v>28</v>
      </c>
      <c r="G22" s="281" t="s">
        <v>329</v>
      </c>
      <c r="H22" s="282" t="s">
        <v>59</v>
      </c>
      <c r="I22" s="106">
        <v>4096</v>
      </c>
      <c r="J22" s="107" t="str">
        <f>IF(OR(D22="",D22="-"),"-",CONCATENATE("SPT",K22,"/",N22,L22,".",M22))</f>
        <v>SPT103DC/PA6_3_GGIO29.Ind1</v>
      </c>
      <c r="K22" s="177" t="s">
        <v>583</v>
      </c>
      <c r="L22" s="178" t="s">
        <v>528</v>
      </c>
      <c r="M22" s="163" t="s">
        <v>36</v>
      </c>
      <c r="N22" s="179" t="s">
        <v>527</v>
      </c>
      <c r="Q22" s="82" t="s">
        <v>262</v>
      </c>
    </row>
    <row r="23" spans="1:21" ht="12.6" thickBot="1" x14ac:dyDescent="0.3">
      <c r="A23" s="277"/>
      <c r="B23" s="268"/>
      <c r="C23" s="86">
        <f>C22+1</f>
        <v>2</v>
      </c>
      <c r="D23" s="158" t="s">
        <v>497</v>
      </c>
      <c r="E23" s="92" t="s">
        <v>208</v>
      </c>
      <c r="F23" s="279"/>
      <c r="G23" s="281"/>
      <c r="H23" s="283"/>
      <c r="I23" s="106">
        <f>I22+1</f>
        <v>4097</v>
      </c>
      <c r="J23" s="107" t="str">
        <f t="shared" ref="J23:J53" si="8">IF(OR(D23="",D23="-"),"-",CONCATENATE("SPT",K23,"/",N23,L23,".",M23))</f>
        <v>SPT103DC/PA6_3_GGIO29.Alm2</v>
      </c>
      <c r="K23" s="103" t="str">
        <f>K22</f>
        <v>103DC</v>
      </c>
      <c r="L23" s="104" t="str">
        <f>L22</f>
        <v>GGIO29</v>
      </c>
      <c r="M23" s="163" t="s">
        <v>39</v>
      </c>
      <c r="N23" s="82" t="str">
        <f>N22</f>
        <v>PA6_3_</v>
      </c>
      <c r="Q23" s="82" t="s">
        <v>263</v>
      </c>
    </row>
    <row r="24" spans="1:21" ht="12.6" thickBot="1" x14ac:dyDescent="0.3">
      <c r="A24" s="277"/>
      <c r="B24" s="268"/>
      <c r="C24" s="86">
        <f t="shared" ref="C24:C52" si="9">C23+1</f>
        <v>3</v>
      </c>
      <c r="D24" s="158" t="s">
        <v>498</v>
      </c>
      <c r="E24" s="92" t="s">
        <v>207</v>
      </c>
      <c r="F24" s="279"/>
      <c r="G24" s="281"/>
      <c r="H24" s="283"/>
      <c r="I24" s="106">
        <f t="shared" ref="I24:I53" si="10">I23+1</f>
        <v>4098</v>
      </c>
      <c r="J24" s="107" t="str">
        <f t="shared" si="8"/>
        <v>SPT103DC/PA6_3_GGIO29.Ind2</v>
      </c>
      <c r="K24" s="103" t="str">
        <f t="shared" ref="K24:K53" si="11">K23</f>
        <v>103DC</v>
      </c>
      <c r="L24" s="104" t="str">
        <f t="shared" ref="L24:L53" si="12">L23</f>
        <v>GGIO29</v>
      </c>
      <c r="M24" s="163" t="str">
        <f>_xlfn.IFS(OR(E24="Авария=1",E24="Авария=0"),CONCATENATE("Alm",SUM(COUNTIF($M$22:M23,"*Alm*"),1)),OR(E24="Вкл=1",E24="Вкл=0"),CONCATENATE("Ind",SUM(COUNTIF($M$22:M23,"*Ind*"),1)))</f>
        <v>Ind2</v>
      </c>
      <c r="N24" s="82" t="str">
        <f t="shared" ref="N24:N53" si="13">N23</f>
        <v>PA6_3_</v>
      </c>
      <c r="Q24" s="82" t="s">
        <v>457</v>
      </c>
    </row>
    <row r="25" spans="1:21" ht="12.6" thickBot="1" x14ac:dyDescent="0.3">
      <c r="A25" s="277"/>
      <c r="B25" s="268"/>
      <c r="C25" s="86">
        <f t="shared" si="9"/>
        <v>4</v>
      </c>
      <c r="D25" s="158" t="s">
        <v>499</v>
      </c>
      <c r="E25" s="92" t="s">
        <v>208</v>
      </c>
      <c r="F25" s="279"/>
      <c r="G25" s="281"/>
      <c r="H25" s="283"/>
      <c r="I25" s="106">
        <f t="shared" si="10"/>
        <v>4099</v>
      </c>
      <c r="J25" s="107" t="str">
        <f t="shared" si="8"/>
        <v>SPT103DC/PA6_3_GGIO29.Alm2</v>
      </c>
      <c r="K25" s="103" t="str">
        <f t="shared" si="11"/>
        <v>103DC</v>
      </c>
      <c r="L25" s="104" t="str">
        <f t="shared" si="12"/>
        <v>GGIO29</v>
      </c>
      <c r="M25" s="163" t="str">
        <f>_xlfn.IFS(OR(E25="Авария=1",E25="Авария=0"),CONCATENATE("Alm",SUM(COUNTIF($M$22:M24,"*Alm*"),1)),OR(E25="Вкл=1",E25="Вкл=0"),CONCATENATE("Ind",SUM(COUNTIF($M$22:M24,"*Ind*"),1)))</f>
        <v>Alm2</v>
      </c>
      <c r="N25" s="82" t="str">
        <f t="shared" si="13"/>
        <v>PA6_3_</v>
      </c>
      <c r="Q25" s="82" t="s">
        <v>264</v>
      </c>
    </row>
    <row r="26" spans="1:21" ht="12.6" thickBot="1" x14ac:dyDescent="0.3">
      <c r="A26" s="277"/>
      <c r="B26" s="268"/>
      <c r="C26" s="86">
        <f t="shared" si="9"/>
        <v>5</v>
      </c>
      <c r="D26" s="158" t="s">
        <v>500</v>
      </c>
      <c r="E26" s="92" t="s">
        <v>207</v>
      </c>
      <c r="F26" s="279"/>
      <c r="G26" s="281"/>
      <c r="H26" s="283"/>
      <c r="I26" s="106">
        <f t="shared" si="10"/>
        <v>4100</v>
      </c>
      <c r="J26" s="107" t="str">
        <f t="shared" si="8"/>
        <v>SPT103DC/PA6_3_GGIO29.Ind3</v>
      </c>
      <c r="K26" s="103" t="str">
        <f t="shared" si="11"/>
        <v>103DC</v>
      </c>
      <c r="L26" s="104" t="str">
        <f t="shared" si="12"/>
        <v>GGIO29</v>
      </c>
      <c r="M26" s="163" t="str">
        <f>_xlfn.IFS(OR(E26="Авария=1",E26="Авария=0"),CONCATENATE("Alm",SUM(COUNTIF($M$22:M25,"*Alm*"),1)),OR(E26="Вкл=1",E26="Вкл=0"),CONCATENATE("Ind",SUM(COUNTIF($M$22:M25,"*Ind*"),1)))</f>
        <v>Ind3</v>
      </c>
      <c r="N26" s="82" t="str">
        <f t="shared" si="13"/>
        <v>PA6_3_</v>
      </c>
      <c r="Q26" s="82" t="s">
        <v>458</v>
      </c>
    </row>
    <row r="27" spans="1:21" ht="12.6" thickBot="1" x14ac:dyDescent="0.3">
      <c r="A27" s="277"/>
      <c r="B27" s="268"/>
      <c r="C27" s="97">
        <f t="shared" si="9"/>
        <v>6</v>
      </c>
      <c r="D27" s="158" t="s">
        <v>501</v>
      </c>
      <c r="E27" s="92" t="s">
        <v>208</v>
      </c>
      <c r="F27" s="279"/>
      <c r="G27" s="281"/>
      <c r="H27" s="283"/>
      <c r="I27" s="106">
        <f t="shared" si="10"/>
        <v>4101</v>
      </c>
      <c r="J27" s="107" t="str">
        <f t="shared" si="8"/>
        <v>SPT103DC/PA6_3_GGIO29.Alm3</v>
      </c>
      <c r="K27" s="103" t="str">
        <f t="shared" si="11"/>
        <v>103DC</v>
      </c>
      <c r="L27" s="104" t="str">
        <f t="shared" si="12"/>
        <v>GGIO29</v>
      </c>
      <c r="M27" s="163" t="str">
        <f>_xlfn.IFS(OR(E27="Авария=1",E27="Авария=0"),CONCATENATE("Alm",SUM(COUNTIF($M$22:M26,"*Alm*"),1)),OR(E27="Вкл=1",E27="Вкл=0"),CONCATENATE("Ind",SUM(COUNTIF($M$22:M26,"*Ind*"),1)))</f>
        <v>Alm3</v>
      </c>
      <c r="N27" s="82" t="str">
        <f t="shared" si="13"/>
        <v>PA6_3_</v>
      </c>
    </row>
    <row r="28" spans="1:21" ht="12.6" thickBot="1" x14ac:dyDescent="0.3">
      <c r="A28" s="277"/>
      <c r="B28" s="268"/>
      <c r="C28" s="97">
        <f t="shared" si="9"/>
        <v>7</v>
      </c>
      <c r="D28" s="158" t="s">
        <v>502</v>
      </c>
      <c r="E28" s="92" t="s">
        <v>207</v>
      </c>
      <c r="F28" s="279"/>
      <c r="G28" s="281"/>
      <c r="H28" s="283"/>
      <c r="I28" s="106">
        <f t="shared" si="10"/>
        <v>4102</v>
      </c>
      <c r="J28" s="107" t="str">
        <f t="shared" si="8"/>
        <v>SPT103DC/PA6_3_GGIO29.Ind4</v>
      </c>
      <c r="K28" s="103" t="str">
        <f t="shared" si="11"/>
        <v>103DC</v>
      </c>
      <c r="L28" s="104" t="str">
        <f t="shared" si="12"/>
        <v>GGIO29</v>
      </c>
      <c r="M28" s="163" t="str">
        <f>_xlfn.IFS(OR(E28="Авария=1",E28="Авария=0"),CONCATENATE("Alm",SUM(COUNTIF($M$22:M27,"*Alm*"),1)),OR(E28="Вкл=1",E28="Вкл=0"),CONCATENATE("Ind",SUM(COUNTIF($M$22:M27,"*Ind*"),1)))</f>
        <v>Ind4</v>
      </c>
      <c r="N28" s="82" t="str">
        <f t="shared" si="13"/>
        <v>PA6_3_</v>
      </c>
    </row>
    <row r="29" spans="1:21" ht="12.6" thickBot="1" x14ac:dyDescent="0.3">
      <c r="A29" s="277"/>
      <c r="B29" s="268"/>
      <c r="C29" s="97">
        <f t="shared" si="9"/>
        <v>8</v>
      </c>
      <c r="D29" s="158" t="s">
        <v>503</v>
      </c>
      <c r="E29" s="92" t="s">
        <v>208</v>
      </c>
      <c r="F29" s="279"/>
      <c r="G29" s="281"/>
      <c r="H29" s="283"/>
      <c r="I29" s="106">
        <f t="shared" si="10"/>
        <v>4103</v>
      </c>
      <c r="J29" s="107" t="str">
        <f t="shared" si="8"/>
        <v>SPT103DC/PA6_3_GGIO29.Alm4</v>
      </c>
      <c r="K29" s="103" t="str">
        <f t="shared" si="11"/>
        <v>103DC</v>
      </c>
      <c r="L29" s="104" t="str">
        <f t="shared" si="12"/>
        <v>GGIO29</v>
      </c>
      <c r="M29" s="163" t="str">
        <f>_xlfn.IFS(OR(E29="Авария=1",E29="Авария=0"),CONCATENATE("Alm",SUM(COUNTIF($M$22:M28,"*Alm*"),1)),OR(E29="Вкл=1",E29="Вкл=0"),CONCATENATE("Ind",SUM(COUNTIF($M$22:M28,"*Ind*"),1)))</f>
        <v>Alm4</v>
      </c>
      <c r="N29" s="82" t="str">
        <f t="shared" si="13"/>
        <v>PA6_3_</v>
      </c>
    </row>
    <row r="30" spans="1:21" ht="12.6" thickBot="1" x14ac:dyDescent="0.3">
      <c r="A30" s="277"/>
      <c r="B30" s="268"/>
      <c r="C30" s="97">
        <f t="shared" si="9"/>
        <v>9</v>
      </c>
      <c r="D30" s="158" t="s">
        <v>504</v>
      </c>
      <c r="E30" s="92" t="s">
        <v>207</v>
      </c>
      <c r="F30" s="279"/>
      <c r="G30" s="281"/>
      <c r="H30" s="283"/>
      <c r="I30" s="106">
        <f t="shared" si="10"/>
        <v>4104</v>
      </c>
      <c r="J30" s="107" t="str">
        <f t="shared" si="8"/>
        <v>SPT103DC/PA6_3_GGIO29.Ind5</v>
      </c>
      <c r="K30" s="103" t="str">
        <f t="shared" si="11"/>
        <v>103DC</v>
      </c>
      <c r="L30" s="104" t="str">
        <f t="shared" si="12"/>
        <v>GGIO29</v>
      </c>
      <c r="M30" s="163" t="str">
        <f>_xlfn.IFS(OR(E30="Авария=1",E30="Авария=0"),CONCATENATE("Alm",SUM(COUNTIF($M$22:M29,"*Alm*"),1)),OR(E30="Вкл=1",E30="Вкл=0"),CONCATENATE("Ind",SUM(COUNTIF($M$22:M29,"*Ind*"),1)))</f>
        <v>Ind5</v>
      </c>
      <c r="N30" s="82" t="str">
        <f t="shared" si="13"/>
        <v>PA6_3_</v>
      </c>
    </row>
    <row r="31" spans="1:21" ht="12.6" thickBot="1" x14ac:dyDescent="0.3">
      <c r="A31" s="277"/>
      <c r="B31" s="268"/>
      <c r="C31" s="97">
        <f t="shared" si="9"/>
        <v>10</v>
      </c>
      <c r="D31" s="158" t="s">
        <v>505</v>
      </c>
      <c r="E31" s="92" t="s">
        <v>208</v>
      </c>
      <c r="F31" s="279"/>
      <c r="G31" s="281"/>
      <c r="H31" s="283"/>
      <c r="I31" s="106">
        <f t="shared" si="10"/>
        <v>4105</v>
      </c>
      <c r="J31" s="107" t="str">
        <f t="shared" si="8"/>
        <v>SPT103DC/PA6_3_GGIO29.Alm5</v>
      </c>
      <c r="K31" s="103" t="str">
        <f t="shared" si="11"/>
        <v>103DC</v>
      </c>
      <c r="L31" s="104" t="str">
        <f t="shared" si="12"/>
        <v>GGIO29</v>
      </c>
      <c r="M31" s="163" t="str">
        <f>_xlfn.IFS(OR(E31="Авария=1",E31="Авария=0"),CONCATENATE("Alm",SUM(COUNTIF($M$22:M30,"*Alm*"),1)),OR(E31="Вкл=1",E31="Вкл=0"),CONCATENATE("Ind",SUM(COUNTIF($M$22:M30,"*Ind*"),1)))</f>
        <v>Alm5</v>
      </c>
      <c r="N31" s="82" t="str">
        <f t="shared" si="13"/>
        <v>PA6_3_</v>
      </c>
    </row>
    <row r="32" spans="1:21" ht="12.6" thickBot="1" x14ac:dyDescent="0.3">
      <c r="A32" s="277"/>
      <c r="B32" s="268"/>
      <c r="C32" s="97">
        <f t="shared" si="9"/>
        <v>11</v>
      </c>
      <c r="D32" s="158" t="s">
        <v>506</v>
      </c>
      <c r="E32" s="92" t="s">
        <v>207</v>
      </c>
      <c r="F32" s="279"/>
      <c r="G32" s="281"/>
      <c r="H32" s="283"/>
      <c r="I32" s="106">
        <f t="shared" si="10"/>
        <v>4106</v>
      </c>
      <c r="J32" s="107" t="str">
        <f t="shared" si="8"/>
        <v>SPT103DC/PA6_3_GGIO29.Ind6</v>
      </c>
      <c r="K32" s="103" t="str">
        <f t="shared" si="11"/>
        <v>103DC</v>
      </c>
      <c r="L32" s="104" t="str">
        <f t="shared" si="12"/>
        <v>GGIO29</v>
      </c>
      <c r="M32" s="163" t="str">
        <f>_xlfn.IFS(OR(E32="Авария=1",E32="Авария=0"),CONCATENATE("Alm",SUM(COUNTIF($M$22:M31,"*Alm*"),1)),OR(E32="Вкл=1",E32="Вкл=0"),CONCATENATE("Ind",SUM(COUNTIF($M$22:M31,"*Ind*"),1)))</f>
        <v>Ind6</v>
      </c>
      <c r="N32" s="82" t="str">
        <f t="shared" si="13"/>
        <v>PA6_3_</v>
      </c>
    </row>
    <row r="33" spans="1:14" ht="12.6" thickBot="1" x14ac:dyDescent="0.3">
      <c r="A33" s="277"/>
      <c r="B33" s="268"/>
      <c r="C33" s="97">
        <f t="shared" si="9"/>
        <v>12</v>
      </c>
      <c r="D33" s="158" t="s">
        <v>507</v>
      </c>
      <c r="E33" s="92" t="s">
        <v>208</v>
      </c>
      <c r="F33" s="279"/>
      <c r="G33" s="281"/>
      <c r="H33" s="283"/>
      <c r="I33" s="106">
        <f t="shared" si="10"/>
        <v>4107</v>
      </c>
      <c r="J33" s="107" t="str">
        <f t="shared" si="8"/>
        <v>SPT103DC/PA6_3_GGIO29.Alm6</v>
      </c>
      <c r="K33" s="103" t="str">
        <f t="shared" si="11"/>
        <v>103DC</v>
      </c>
      <c r="L33" s="104" t="str">
        <f t="shared" si="12"/>
        <v>GGIO29</v>
      </c>
      <c r="M33" s="163" t="str">
        <f>_xlfn.IFS(OR(E33="Авария=1",E33="Авария=0"),CONCATENATE("Alm",SUM(COUNTIF($M$22:M32,"*Alm*"),1)),OR(E33="Вкл=1",E33="Вкл=0"),CONCATENATE("Ind",SUM(COUNTIF($M$22:M32,"*Ind*"),1)))</f>
        <v>Alm6</v>
      </c>
      <c r="N33" s="82" t="str">
        <f t="shared" si="13"/>
        <v>PA6_3_</v>
      </c>
    </row>
    <row r="34" spans="1:14" ht="12.6" thickBot="1" x14ac:dyDescent="0.3">
      <c r="A34" s="277"/>
      <c r="B34" s="268"/>
      <c r="C34" s="97">
        <f t="shared" si="9"/>
        <v>13</v>
      </c>
      <c r="D34" s="158" t="s">
        <v>508</v>
      </c>
      <c r="E34" s="92" t="s">
        <v>207</v>
      </c>
      <c r="F34" s="279"/>
      <c r="G34" s="281"/>
      <c r="H34" s="283"/>
      <c r="I34" s="106">
        <f t="shared" si="10"/>
        <v>4108</v>
      </c>
      <c r="J34" s="107" t="str">
        <f t="shared" si="8"/>
        <v>SPT103DC/PA6_3_GGIO29.Ind7</v>
      </c>
      <c r="K34" s="103" t="str">
        <f t="shared" si="11"/>
        <v>103DC</v>
      </c>
      <c r="L34" s="104" t="str">
        <f t="shared" si="12"/>
        <v>GGIO29</v>
      </c>
      <c r="M34" s="163" t="str">
        <f>_xlfn.IFS(OR(E34="Авария=1",E34="Авария=0"),CONCATENATE("Alm",SUM(COUNTIF($M$22:M33,"*Alm*"),1)),OR(E34="Вкл=1",E34="Вкл=0"),CONCATENATE("Ind",SUM(COUNTIF($M$22:M33,"*Ind*"),1)))</f>
        <v>Ind7</v>
      </c>
      <c r="N34" s="82" t="str">
        <f t="shared" si="13"/>
        <v>PA6_3_</v>
      </c>
    </row>
    <row r="35" spans="1:14" ht="12.6" thickBot="1" x14ac:dyDescent="0.3">
      <c r="A35" s="277"/>
      <c r="B35" s="268"/>
      <c r="C35" s="97">
        <f t="shared" si="9"/>
        <v>14</v>
      </c>
      <c r="D35" s="158" t="s">
        <v>509</v>
      </c>
      <c r="E35" s="92" t="s">
        <v>208</v>
      </c>
      <c r="F35" s="279"/>
      <c r="G35" s="281"/>
      <c r="H35" s="283"/>
      <c r="I35" s="106">
        <f t="shared" si="10"/>
        <v>4109</v>
      </c>
      <c r="J35" s="107" t="str">
        <f t="shared" si="8"/>
        <v>SPT103DC/PA6_3_GGIO29.Alm7</v>
      </c>
      <c r="K35" s="103" t="str">
        <f t="shared" si="11"/>
        <v>103DC</v>
      </c>
      <c r="L35" s="104" t="str">
        <f t="shared" si="12"/>
        <v>GGIO29</v>
      </c>
      <c r="M35" s="163" t="str">
        <f>_xlfn.IFS(OR(E35="Авария=1",E35="Авария=0"),CONCATENATE("Alm",SUM(COUNTIF($M$22:M34,"*Alm*"),1)),OR(E35="Вкл=1",E35="Вкл=0"),CONCATENATE("Ind",SUM(COUNTIF($M$22:M34,"*Ind*"),1)))</f>
        <v>Alm7</v>
      </c>
      <c r="N35" s="82" t="str">
        <f t="shared" si="13"/>
        <v>PA6_3_</v>
      </c>
    </row>
    <row r="36" spans="1:14" ht="12.6" thickBot="1" x14ac:dyDescent="0.3">
      <c r="A36" s="277"/>
      <c r="B36" s="268"/>
      <c r="C36" s="97">
        <f t="shared" si="9"/>
        <v>15</v>
      </c>
      <c r="D36" s="158" t="s">
        <v>510</v>
      </c>
      <c r="E36" s="155" t="s">
        <v>207</v>
      </c>
      <c r="F36" s="279"/>
      <c r="G36" s="281"/>
      <c r="H36" s="283"/>
      <c r="I36" s="106">
        <f t="shared" si="10"/>
        <v>4110</v>
      </c>
      <c r="J36" s="107" t="str">
        <f t="shared" si="8"/>
        <v>SPT103DC/PA6_3_GGIO29.Ind8</v>
      </c>
      <c r="K36" s="103" t="str">
        <f t="shared" si="11"/>
        <v>103DC</v>
      </c>
      <c r="L36" s="104" t="str">
        <f t="shared" si="12"/>
        <v>GGIO29</v>
      </c>
      <c r="M36" s="163" t="str">
        <f>_xlfn.IFS(OR(E36="Авария=1",E36="Авария=0"),CONCATENATE("Alm",SUM(COUNTIF($M$22:M35,"*Alm*"),1)),OR(E36="Вкл=1",E36="Вкл=0"),CONCATENATE("Ind",SUM(COUNTIF($M$22:M35,"*Ind*"),1)))</f>
        <v>Ind8</v>
      </c>
      <c r="N36" s="82" t="str">
        <f t="shared" si="13"/>
        <v>PA6_3_</v>
      </c>
    </row>
    <row r="37" spans="1:14" ht="12.6" thickBot="1" x14ac:dyDescent="0.3">
      <c r="A37" s="277"/>
      <c r="B37" s="268"/>
      <c r="C37" s="97">
        <f t="shared" si="9"/>
        <v>16</v>
      </c>
      <c r="D37" s="158" t="s">
        <v>511</v>
      </c>
      <c r="E37" s="92" t="s">
        <v>208</v>
      </c>
      <c r="F37" s="279"/>
      <c r="G37" s="281"/>
      <c r="H37" s="283"/>
      <c r="I37" s="106">
        <f t="shared" si="10"/>
        <v>4111</v>
      </c>
      <c r="J37" s="107" t="str">
        <f t="shared" si="8"/>
        <v>SPT103DC/PA6_3_GGIO29.Alm8</v>
      </c>
      <c r="K37" s="103" t="str">
        <f t="shared" si="11"/>
        <v>103DC</v>
      </c>
      <c r="L37" s="104" t="str">
        <f t="shared" si="12"/>
        <v>GGIO29</v>
      </c>
      <c r="M37" s="163" t="str">
        <f>_xlfn.IFS(OR(E37="Авария=1",E37="Авария=0"),CONCATENATE("Alm",SUM(COUNTIF($M$22:M36,"*Alm*"),1)),OR(E37="Вкл=1",E37="Вкл=0"),CONCATENATE("Ind",SUM(COUNTIF($M$22:M36,"*Ind*"),1)))</f>
        <v>Alm8</v>
      </c>
      <c r="N37" s="82" t="str">
        <f t="shared" si="13"/>
        <v>PA6_3_</v>
      </c>
    </row>
    <row r="38" spans="1:14" ht="12.6" thickBot="1" x14ac:dyDescent="0.3">
      <c r="A38" s="277"/>
      <c r="B38" s="268"/>
      <c r="C38" s="97">
        <f t="shared" si="9"/>
        <v>17</v>
      </c>
      <c r="D38" s="158" t="s">
        <v>512</v>
      </c>
      <c r="E38" s="92" t="s">
        <v>207</v>
      </c>
      <c r="F38" s="279"/>
      <c r="G38" s="281"/>
      <c r="H38" s="283"/>
      <c r="I38" s="106">
        <f t="shared" si="10"/>
        <v>4112</v>
      </c>
      <c r="J38" s="107" t="str">
        <f t="shared" si="8"/>
        <v>SPT103DC/PA6_3_GGIO29.Ind9</v>
      </c>
      <c r="K38" s="103" t="str">
        <f t="shared" si="11"/>
        <v>103DC</v>
      </c>
      <c r="L38" s="104" t="str">
        <f t="shared" si="12"/>
        <v>GGIO29</v>
      </c>
      <c r="M38" s="163" t="str">
        <f>_xlfn.IFS(OR(E38="Авария=1",E38="Авария=0"),CONCATENATE("Alm",SUM(COUNTIF($M$22:M37,"*Alm*"),1)),OR(E38="Вкл=1",E38="Вкл=0"),CONCATENATE("Ind",SUM(COUNTIF($M$22:M37,"*Ind*"),1)))</f>
        <v>Ind9</v>
      </c>
      <c r="N38" s="82" t="str">
        <f t="shared" si="13"/>
        <v>PA6_3_</v>
      </c>
    </row>
    <row r="39" spans="1:14" ht="12.6" thickBot="1" x14ac:dyDescent="0.3">
      <c r="A39" s="277"/>
      <c r="B39" s="268"/>
      <c r="C39" s="97">
        <f t="shared" si="9"/>
        <v>18</v>
      </c>
      <c r="D39" s="158" t="s">
        <v>513</v>
      </c>
      <c r="E39" s="92" t="s">
        <v>208</v>
      </c>
      <c r="F39" s="279"/>
      <c r="G39" s="281"/>
      <c r="H39" s="283"/>
      <c r="I39" s="106">
        <f t="shared" si="10"/>
        <v>4113</v>
      </c>
      <c r="J39" s="107" t="str">
        <f t="shared" si="8"/>
        <v>SPT103DC/PA6_3_GGIO29.Alm9</v>
      </c>
      <c r="K39" s="103" t="str">
        <f t="shared" si="11"/>
        <v>103DC</v>
      </c>
      <c r="L39" s="104" t="str">
        <f t="shared" si="12"/>
        <v>GGIO29</v>
      </c>
      <c r="M39" s="163" t="str">
        <f>_xlfn.IFS(OR(E39="Авария=1",E39="Авария=0"),CONCATENATE("Alm",SUM(COUNTIF($M$22:M38,"*Alm*"),1)),OR(E39="Вкл=1",E39="Вкл=0"),CONCATENATE("Ind",SUM(COUNTIF($M$22:M38,"*Ind*"),1)))</f>
        <v>Alm9</v>
      </c>
      <c r="N39" s="82" t="str">
        <f t="shared" si="13"/>
        <v>PA6_3_</v>
      </c>
    </row>
    <row r="40" spans="1:14" ht="12.6" thickBot="1" x14ac:dyDescent="0.3">
      <c r="A40" s="277"/>
      <c r="B40" s="268"/>
      <c r="C40" s="97">
        <f t="shared" si="9"/>
        <v>19</v>
      </c>
      <c r="D40" s="158" t="s">
        <v>514</v>
      </c>
      <c r="E40" s="155" t="s">
        <v>207</v>
      </c>
      <c r="F40" s="279"/>
      <c r="G40" s="281"/>
      <c r="H40" s="283"/>
      <c r="I40" s="106">
        <f t="shared" si="10"/>
        <v>4114</v>
      </c>
      <c r="J40" s="107" t="str">
        <f t="shared" si="8"/>
        <v>SPT103DC/PA6_3_GGIO29.Ind10</v>
      </c>
      <c r="K40" s="103" t="str">
        <f t="shared" si="11"/>
        <v>103DC</v>
      </c>
      <c r="L40" s="104" t="str">
        <f t="shared" si="12"/>
        <v>GGIO29</v>
      </c>
      <c r="M40" s="163" t="str">
        <f>_xlfn.IFS(OR(E40="Авария=1",E40="Авария=0"),CONCATENATE("Alm",SUM(COUNTIF($M$22:M39,"*Alm*"),1)),OR(E40="Вкл=1",E40="Вкл=0"),CONCATENATE("Ind",SUM(COUNTIF($M$22:M39,"*Ind*"),1)))</f>
        <v>Ind10</v>
      </c>
      <c r="N40" s="82" t="str">
        <f t="shared" si="13"/>
        <v>PA6_3_</v>
      </c>
    </row>
    <row r="41" spans="1:14" ht="12.6" thickBot="1" x14ac:dyDescent="0.3">
      <c r="A41" s="277"/>
      <c r="B41" s="268"/>
      <c r="C41" s="97">
        <f t="shared" si="9"/>
        <v>20</v>
      </c>
      <c r="D41" s="158" t="s">
        <v>515</v>
      </c>
      <c r="E41" s="92" t="s">
        <v>208</v>
      </c>
      <c r="F41" s="279"/>
      <c r="G41" s="281"/>
      <c r="H41" s="283"/>
      <c r="I41" s="106">
        <f t="shared" si="10"/>
        <v>4115</v>
      </c>
      <c r="J41" s="107" t="str">
        <f t="shared" si="8"/>
        <v>SPT103DC/PA6_3_GGIO29.Alm10</v>
      </c>
      <c r="K41" s="103" t="str">
        <f t="shared" si="11"/>
        <v>103DC</v>
      </c>
      <c r="L41" s="104" t="str">
        <f t="shared" si="12"/>
        <v>GGIO29</v>
      </c>
      <c r="M41" s="163" t="str">
        <f>_xlfn.IFS(OR(E41="Авария=1",E41="Авария=0"),CONCATENATE("Alm",SUM(COUNTIF($M$22:M40,"*Alm*"),1)),OR(E41="Вкл=1",E41="Вкл=0"),CONCATENATE("Ind",SUM(COUNTIF($M$22:M40,"*Ind*"),1)))</f>
        <v>Alm10</v>
      </c>
      <c r="N41" s="82" t="str">
        <f t="shared" si="13"/>
        <v>PA6_3_</v>
      </c>
    </row>
    <row r="42" spans="1:14" ht="12.6" thickBot="1" x14ac:dyDescent="0.3">
      <c r="A42" s="277"/>
      <c r="B42" s="268"/>
      <c r="C42" s="97">
        <f t="shared" si="9"/>
        <v>21</v>
      </c>
      <c r="D42" s="158" t="s">
        <v>516</v>
      </c>
      <c r="E42" s="92" t="s">
        <v>207</v>
      </c>
      <c r="F42" s="279"/>
      <c r="G42" s="281"/>
      <c r="H42" s="283"/>
      <c r="I42" s="106">
        <f t="shared" si="10"/>
        <v>4116</v>
      </c>
      <c r="J42" s="107" t="str">
        <f t="shared" si="8"/>
        <v>SPT103DC/PA6_3_GGIO29.Ind11</v>
      </c>
      <c r="K42" s="103" t="str">
        <f t="shared" si="11"/>
        <v>103DC</v>
      </c>
      <c r="L42" s="104" t="str">
        <f t="shared" si="12"/>
        <v>GGIO29</v>
      </c>
      <c r="M42" s="163" t="str">
        <f>_xlfn.IFS(OR(E42="Авария=1",E42="Авария=0"),CONCATENATE("Alm",SUM(COUNTIF($M$22:M41,"*Alm*"),1)),OR(E42="Вкл=1",E42="Вкл=0"),CONCATENATE("Ind",SUM(COUNTIF($M$22:M41,"*Ind*"),1)))</f>
        <v>Ind11</v>
      </c>
      <c r="N42" s="82" t="str">
        <f t="shared" si="13"/>
        <v>PA6_3_</v>
      </c>
    </row>
    <row r="43" spans="1:14" ht="12.6" thickBot="1" x14ac:dyDescent="0.3">
      <c r="A43" s="277"/>
      <c r="B43" s="268"/>
      <c r="C43" s="97">
        <f t="shared" si="9"/>
        <v>22</v>
      </c>
      <c r="D43" s="158" t="s">
        <v>517</v>
      </c>
      <c r="E43" s="92" t="s">
        <v>208</v>
      </c>
      <c r="F43" s="279"/>
      <c r="G43" s="281"/>
      <c r="H43" s="283"/>
      <c r="I43" s="106">
        <f t="shared" si="10"/>
        <v>4117</v>
      </c>
      <c r="J43" s="107" t="str">
        <f t="shared" si="8"/>
        <v>SPT103DC/PA6_3_GGIO29.Alm11</v>
      </c>
      <c r="K43" s="103" t="str">
        <f t="shared" si="11"/>
        <v>103DC</v>
      </c>
      <c r="L43" s="104" t="str">
        <f t="shared" si="12"/>
        <v>GGIO29</v>
      </c>
      <c r="M43" s="163" t="str">
        <f>_xlfn.IFS(OR(E43="Авария=1",E43="Авария=0"),CONCATENATE("Alm",SUM(COUNTIF($M$22:M42,"*Alm*"),1)),OR(E43="Вкл=1",E43="Вкл=0"),CONCATENATE("Ind",SUM(COUNTIF($M$22:M42,"*Ind*"),1)))</f>
        <v>Alm11</v>
      </c>
      <c r="N43" s="82" t="str">
        <f t="shared" si="13"/>
        <v>PA6_3_</v>
      </c>
    </row>
    <row r="44" spans="1:14" ht="12.6" thickBot="1" x14ac:dyDescent="0.3">
      <c r="A44" s="277"/>
      <c r="B44" s="268"/>
      <c r="C44" s="97">
        <f t="shared" si="9"/>
        <v>23</v>
      </c>
      <c r="D44" s="158" t="s">
        <v>518</v>
      </c>
      <c r="E44" s="92" t="s">
        <v>207</v>
      </c>
      <c r="F44" s="279"/>
      <c r="G44" s="281"/>
      <c r="H44" s="283"/>
      <c r="I44" s="106">
        <f t="shared" si="10"/>
        <v>4118</v>
      </c>
      <c r="J44" s="107" t="str">
        <f t="shared" si="8"/>
        <v>SPT103DC/PA6_3_GGIO29.Ind12</v>
      </c>
      <c r="K44" s="103" t="str">
        <f t="shared" si="11"/>
        <v>103DC</v>
      </c>
      <c r="L44" s="104" t="str">
        <f t="shared" si="12"/>
        <v>GGIO29</v>
      </c>
      <c r="M44" s="163" t="str">
        <f>_xlfn.IFS(OR(E44="Авария=1",E44="Авария=0"),CONCATENATE("Alm",SUM(COUNTIF($M$22:M43,"*Alm*"),1)),OR(E44="Вкл=1",E44="Вкл=0"),CONCATENATE("Ind",SUM(COUNTIF($M$22:M43,"*Ind*"),1)))</f>
        <v>Ind12</v>
      </c>
      <c r="N44" s="82" t="str">
        <f t="shared" si="13"/>
        <v>PA6_3_</v>
      </c>
    </row>
    <row r="45" spans="1:14" ht="12.6" thickBot="1" x14ac:dyDescent="0.3">
      <c r="A45" s="277"/>
      <c r="B45" s="268"/>
      <c r="C45" s="97">
        <f t="shared" si="9"/>
        <v>24</v>
      </c>
      <c r="D45" s="158" t="s">
        <v>519</v>
      </c>
      <c r="E45" s="92" t="s">
        <v>208</v>
      </c>
      <c r="F45" s="279"/>
      <c r="G45" s="281"/>
      <c r="H45" s="283"/>
      <c r="I45" s="106">
        <f t="shared" si="10"/>
        <v>4119</v>
      </c>
      <c r="J45" s="107" t="str">
        <f t="shared" si="8"/>
        <v>SPT103DC/PA6_3_GGIO29.Alm12</v>
      </c>
      <c r="K45" s="103" t="str">
        <f t="shared" si="11"/>
        <v>103DC</v>
      </c>
      <c r="L45" s="104" t="str">
        <f t="shared" si="12"/>
        <v>GGIO29</v>
      </c>
      <c r="M45" s="163" t="str">
        <f>_xlfn.IFS(OR(E45="Авария=1",E45="Авария=0"),CONCATENATE("Alm",SUM(COUNTIF($M$22:M44,"*Alm*"),1)),OR(E45="Вкл=1",E45="Вкл=0"),CONCATENATE("Ind",SUM(COUNTIF($M$22:M44,"*Ind*"),1)))</f>
        <v>Alm12</v>
      </c>
      <c r="N45" s="82" t="str">
        <f t="shared" si="13"/>
        <v>PA6_3_</v>
      </c>
    </row>
    <row r="46" spans="1:14" ht="12.6" thickBot="1" x14ac:dyDescent="0.3">
      <c r="A46" s="277"/>
      <c r="B46" s="268"/>
      <c r="C46" s="162">
        <f t="shared" si="9"/>
        <v>25</v>
      </c>
      <c r="D46" s="158" t="s">
        <v>520</v>
      </c>
      <c r="E46" s="92" t="s">
        <v>207</v>
      </c>
      <c r="F46" s="279"/>
      <c r="G46" s="281"/>
      <c r="H46" s="283"/>
      <c r="I46" s="106">
        <f t="shared" si="10"/>
        <v>4120</v>
      </c>
      <c r="J46" s="107" t="str">
        <f t="shared" si="8"/>
        <v>SPT103DC/PA6_3_GGIO29.Ind13</v>
      </c>
      <c r="K46" s="103" t="str">
        <f t="shared" si="11"/>
        <v>103DC</v>
      </c>
      <c r="L46" s="104" t="str">
        <f t="shared" si="12"/>
        <v>GGIO29</v>
      </c>
      <c r="M46" s="163" t="str">
        <f>_xlfn.IFS(OR(E46="Авария=1",E46="Авария=0"),CONCATENATE("Alm",SUM(COUNTIF($M$22:M45,"*Alm*"),1)),OR(E46="Вкл=1",E46="Вкл=0"),CONCATENATE("Ind",SUM(COUNTIF($M$22:M45,"*Ind*"),1)))</f>
        <v>Ind13</v>
      </c>
      <c r="N46" s="82" t="str">
        <f t="shared" si="13"/>
        <v>PA6_3_</v>
      </c>
    </row>
    <row r="47" spans="1:14" ht="12.6" thickBot="1" x14ac:dyDescent="0.3">
      <c r="A47" s="277"/>
      <c r="B47" s="268"/>
      <c r="C47" s="162">
        <f t="shared" si="9"/>
        <v>26</v>
      </c>
      <c r="D47" s="158" t="s">
        <v>521</v>
      </c>
      <c r="E47" s="92" t="s">
        <v>208</v>
      </c>
      <c r="F47" s="279"/>
      <c r="G47" s="281"/>
      <c r="H47" s="283"/>
      <c r="I47" s="106">
        <f t="shared" si="10"/>
        <v>4121</v>
      </c>
      <c r="J47" s="107" t="str">
        <f t="shared" si="8"/>
        <v>SPT103DC/PA6_3_GGIO29.Alm13</v>
      </c>
      <c r="K47" s="103" t="str">
        <f t="shared" si="11"/>
        <v>103DC</v>
      </c>
      <c r="L47" s="104" t="str">
        <f t="shared" si="12"/>
        <v>GGIO29</v>
      </c>
      <c r="M47" s="163" t="str">
        <f>_xlfn.IFS(OR(E47="Авария=1",E47="Авария=0"),CONCATENATE("Alm",SUM(COUNTIF($M$22:M46,"*Alm*"),1)),OR(E47="Вкл=1",E47="Вкл=0"),CONCATENATE("Ind",SUM(COUNTIF($M$22:M46,"*Ind*"),1)))</f>
        <v>Alm13</v>
      </c>
      <c r="N47" s="82" t="str">
        <f t="shared" si="13"/>
        <v>PA6_3_</v>
      </c>
    </row>
    <row r="48" spans="1:14" ht="12.6" thickBot="1" x14ac:dyDescent="0.3">
      <c r="A48" s="277"/>
      <c r="B48" s="268"/>
      <c r="C48" s="162">
        <f t="shared" si="9"/>
        <v>27</v>
      </c>
      <c r="D48" s="158" t="s">
        <v>522</v>
      </c>
      <c r="E48" s="155" t="s">
        <v>207</v>
      </c>
      <c r="F48" s="279"/>
      <c r="G48" s="281"/>
      <c r="H48" s="283"/>
      <c r="I48" s="106">
        <f t="shared" si="10"/>
        <v>4122</v>
      </c>
      <c r="J48" s="107" t="str">
        <f t="shared" si="8"/>
        <v>SPT103DC/PA6_3_GGIO29.Ind14</v>
      </c>
      <c r="K48" s="103" t="str">
        <f t="shared" si="11"/>
        <v>103DC</v>
      </c>
      <c r="L48" s="104" t="str">
        <f t="shared" si="12"/>
        <v>GGIO29</v>
      </c>
      <c r="M48" s="163" t="str">
        <f>_xlfn.IFS(OR(E48="Авария=1",E48="Авария=0"),CONCATENATE("Alm",SUM(COUNTIF($M$22:M47,"*Alm*"),1)),OR(E48="Вкл=1",E48="Вкл=0"),CONCATENATE("Ind",SUM(COUNTIF($M$22:M47,"*Ind*"),1)))</f>
        <v>Ind14</v>
      </c>
      <c r="N48" s="82" t="str">
        <f t="shared" si="13"/>
        <v>PA6_3_</v>
      </c>
    </row>
    <row r="49" spans="1:23" ht="12.6" thickBot="1" x14ac:dyDescent="0.3">
      <c r="A49" s="277"/>
      <c r="B49" s="268"/>
      <c r="C49" s="162">
        <f t="shared" si="9"/>
        <v>28</v>
      </c>
      <c r="D49" s="158" t="s">
        <v>523</v>
      </c>
      <c r="E49" s="92" t="s">
        <v>208</v>
      </c>
      <c r="F49" s="279"/>
      <c r="G49" s="281"/>
      <c r="H49" s="283"/>
      <c r="I49" s="106">
        <f t="shared" si="10"/>
        <v>4123</v>
      </c>
      <c r="J49" s="107" t="str">
        <f t="shared" si="8"/>
        <v>SPT103DC/PA6_3_GGIO29.Alm14</v>
      </c>
      <c r="K49" s="103" t="str">
        <f t="shared" si="11"/>
        <v>103DC</v>
      </c>
      <c r="L49" s="104" t="str">
        <f t="shared" si="12"/>
        <v>GGIO29</v>
      </c>
      <c r="M49" s="163" t="str">
        <f>_xlfn.IFS(OR(E49="Авария=1",E49="Авария=0"),CONCATENATE("Alm",SUM(COUNTIF($M$22:M48,"*Alm*"),1)),OR(E49="Вкл=1",E49="Вкл=0"),CONCATENATE("Ind",SUM(COUNTIF($M$22:M48,"*Ind*"),1)))</f>
        <v>Alm14</v>
      </c>
      <c r="N49" s="82" t="str">
        <f t="shared" si="13"/>
        <v>PA6_3_</v>
      </c>
    </row>
    <row r="50" spans="1:23" ht="12.6" thickBot="1" x14ac:dyDescent="0.3">
      <c r="A50" s="277"/>
      <c r="B50" s="268"/>
      <c r="C50" s="162">
        <f t="shared" si="9"/>
        <v>29</v>
      </c>
      <c r="D50" s="158" t="s">
        <v>520</v>
      </c>
      <c r="E50" s="92" t="s">
        <v>207</v>
      </c>
      <c r="F50" s="279"/>
      <c r="G50" s="281"/>
      <c r="H50" s="283"/>
      <c r="I50" s="106">
        <f t="shared" si="10"/>
        <v>4124</v>
      </c>
      <c r="J50" s="107" t="str">
        <f t="shared" si="8"/>
        <v>SPT103DC/PA6_3_GGIO29.Ind15</v>
      </c>
      <c r="K50" s="103" t="str">
        <f t="shared" si="11"/>
        <v>103DC</v>
      </c>
      <c r="L50" s="104" t="str">
        <f t="shared" si="12"/>
        <v>GGIO29</v>
      </c>
      <c r="M50" s="163" t="str">
        <f>_xlfn.IFS(OR(E50="Авария=1",E50="Авария=0"),CONCATENATE("Alm",SUM(COUNTIF($M$22:M49,"*Alm*"),1)),OR(E50="Вкл=1",E50="Вкл=0"),CONCATENATE("Ind",SUM(COUNTIF($M$22:M49,"*Ind*"),1)))</f>
        <v>Ind15</v>
      </c>
      <c r="N50" s="82" t="str">
        <f t="shared" si="13"/>
        <v>PA6_3_</v>
      </c>
    </row>
    <row r="51" spans="1:23" ht="12.6" thickBot="1" x14ac:dyDescent="0.3">
      <c r="A51" s="277"/>
      <c r="B51" s="268"/>
      <c r="C51" s="162">
        <f t="shared" si="9"/>
        <v>30</v>
      </c>
      <c r="D51" s="158" t="s">
        <v>521</v>
      </c>
      <c r="E51" s="92" t="s">
        <v>208</v>
      </c>
      <c r="F51" s="279"/>
      <c r="G51" s="281"/>
      <c r="H51" s="283"/>
      <c r="I51" s="106">
        <f t="shared" si="10"/>
        <v>4125</v>
      </c>
      <c r="J51" s="107" t="str">
        <f t="shared" si="8"/>
        <v>SPT103DC/PA6_3_GGIO29.Alm15</v>
      </c>
      <c r="K51" s="103" t="str">
        <f t="shared" si="11"/>
        <v>103DC</v>
      </c>
      <c r="L51" s="104" t="str">
        <f t="shared" si="12"/>
        <v>GGIO29</v>
      </c>
      <c r="M51" s="163" t="str">
        <f>_xlfn.IFS(OR(E51="Авария=1",E51="Авария=0"),CONCATENATE("Alm",SUM(COUNTIF($M$22:M50,"*Alm*"),1)),OR(E51="Вкл=1",E51="Вкл=0"),CONCATENATE("Ind",SUM(COUNTIF($M$22:M50,"*Ind*"),1)))</f>
        <v>Alm15</v>
      </c>
      <c r="N51" s="82" t="str">
        <f t="shared" si="13"/>
        <v>PA6_3_</v>
      </c>
    </row>
    <row r="52" spans="1:23" ht="12.6" thickBot="1" x14ac:dyDescent="0.3">
      <c r="A52" s="277"/>
      <c r="B52" s="268"/>
      <c r="C52" s="162">
        <f t="shared" si="9"/>
        <v>31</v>
      </c>
      <c r="D52" s="158" t="s">
        <v>522</v>
      </c>
      <c r="E52" s="155" t="s">
        <v>207</v>
      </c>
      <c r="F52" s="279"/>
      <c r="G52" s="281"/>
      <c r="H52" s="283"/>
      <c r="I52" s="106">
        <f t="shared" si="10"/>
        <v>4126</v>
      </c>
      <c r="J52" s="107" t="str">
        <f t="shared" si="8"/>
        <v>SPT103DC/PA6_3_GGIO29.Ind16</v>
      </c>
      <c r="K52" s="103" t="str">
        <f t="shared" si="11"/>
        <v>103DC</v>
      </c>
      <c r="L52" s="104" t="str">
        <f t="shared" si="12"/>
        <v>GGIO29</v>
      </c>
      <c r="M52" s="163" t="str">
        <f>_xlfn.IFS(OR(E52="Авария=1",E52="Авария=0"),CONCATENATE("Alm",SUM(COUNTIF($M$22:M51,"*Alm*"),1)),OR(E52="Вкл=1",E52="Вкл=0"),CONCATENATE("Ind",SUM(COUNTIF($M$22:M51,"*Ind*"),1)))</f>
        <v>Ind16</v>
      </c>
      <c r="N52" s="82" t="str">
        <f t="shared" si="13"/>
        <v>PA6_3_</v>
      </c>
    </row>
    <row r="53" spans="1:23" ht="12.6" thickBot="1" x14ac:dyDescent="0.3">
      <c r="A53" s="277"/>
      <c r="B53" s="268"/>
      <c r="C53" s="97">
        <f>C52+1</f>
        <v>32</v>
      </c>
      <c r="D53" s="158" t="s">
        <v>523</v>
      </c>
      <c r="E53" s="92" t="s">
        <v>208</v>
      </c>
      <c r="F53" s="280"/>
      <c r="G53" s="281"/>
      <c r="H53" s="284"/>
      <c r="I53" s="106">
        <f t="shared" si="10"/>
        <v>4127</v>
      </c>
      <c r="J53" s="107" t="str">
        <f t="shared" si="8"/>
        <v>SPT103DC/PA6_3_GGIO29.Alm16</v>
      </c>
      <c r="K53" s="103" t="str">
        <f t="shared" si="11"/>
        <v>103DC</v>
      </c>
      <c r="L53" s="104" t="str">
        <f t="shared" si="12"/>
        <v>GGIO29</v>
      </c>
      <c r="M53" s="163" t="str">
        <f>_xlfn.IFS(OR(E53="Авария=1",E53="Авария=0"),CONCATENATE("Alm",SUM(COUNTIF($M$22:M52,"*Alm*"),1)),OR(E53="Вкл=1",E53="Вкл=0"),CONCATENATE("Ind",SUM(COUNTIF($M$22:M52,"*Ind*"),1)))</f>
        <v>Alm16</v>
      </c>
      <c r="N53" s="82" t="str">
        <f t="shared" si="13"/>
        <v>PA6_3_</v>
      </c>
    </row>
    <row r="54" spans="1:23" x14ac:dyDescent="0.25">
      <c r="A54" s="252"/>
      <c r="B54" s="253"/>
      <c r="C54" s="253"/>
      <c r="D54" s="253"/>
      <c r="E54" s="253"/>
      <c r="F54" s="253"/>
      <c r="G54" s="253"/>
      <c r="H54" s="253"/>
      <c r="I54" s="253"/>
      <c r="J54" s="254"/>
      <c r="M54" s="163"/>
    </row>
    <row r="55" spans="1:23" x14ac:dyDescent="0.25">
      <c r="A55" s="273" t="s">
        <v>312</v>
      </c>
      <c r="B55" s="273"/>
      <c r="C55" s="273"/>
      <c r="D55" s="273"/>
      <c r="E55" s="273"/>
      <c r="F55" s="273"/>
      <c r="G55" s="273"/>
      <c r="H55" s="273"/>
      <c r="I55" s="273"/>
      <c r="J55" s="273"/>
    </row>
    <row r="56" spans="1:23" outlineLevel="1" x14ac:dyDescent="0.25">
      <c r="A56" s="277">
        <v>14</v>
      </c>
      <c r="B56" s="268" t="s">
        <v>7</v>
      </c>
      <c r="C56" s="86" t="s">
        <v>12</v>
      </c>
      <c r="D56" s="105" t="str">
        <f>CONCATENATE("2F",P56," ",Q56)</f>
        <v>2F2 Положение</v>
      </c>
      <c r="E56" s="92" t="s">
        <v>207</v>
      </c>
      <c r="F56" s="278" t="s">
        <v>28</v>
      </c>
      <c r="G56" s="281" t="s">
        <v>329</v>
      </c>
      <c r="H56" s="282" t="s">
        <v>59</v>
      </c>
      <c r="I56" s="106">
        <v>4112</v>
      </c>
      <c r="J56" s="107" t="str">
        <f>IF(OR(D56="",D56="-"),"",CONCATENATE("SPT",K56,"/",N56,L56,".",M56))</f>
        <v>SPT103DC/P1A4_GGIO2.Ind1</v>
      </c>
      <c r="K56" s="177" t="s">
        <v>583</v>
      </c>
      <c r="L56" s="178" t="s">
        <v>245</v>
      </c>
      <c r="M56" s="104" t="s">
        <v>36</v>
      </c>
      <c r="N56" s="179" t="s">
        <v>631</v>
      </c>
      <c r="P56" s="98">
        <v>2</v>
      </c>
      <c r="Q56" s="82" t="s">
        <v>209</v>
      </c>
      <c r="S56" s="82">
        <f t="shared" ref="S56:S71" si="14">I56-4095</f>
        <v>17</v>
      </c>
      <c r="T56" s="82" t="str">
        <f t="shared" ref="T56:T71" si="15">_xlfn.CONCAT($T$1,S56)</f>
        <v>lb_dd17</v>
      </c>
      <c r="U56" s="82">
        <f t="shared" ref="U56:U71" si="16">S56+1999</f>
        <v>2016</v>
      </c>
      <c r="V56" s="82">
        <v>809</v>
      </c>
      <c r="W56" s="82">
        <v>1058</v>
      </c>
    </row>
    <row r="57" spans="1:23" outlineLevel="1" x14ac:dyDescent="0.25">
      <c r="A57" s="277"/>
      <c r="B57" s="268"/>
      <c r="C57" s="86" t="s">
        <v>8</v>
      </c>
      <c r="D57" s="105" t="str">
        <f t="shared" ref="D57:D70" si="17">CONCATENATE("2F",P57," ",Q57)</f>
        <v>2F2 Состояние</v>
      </c>
      <c r="E57" s="92" t="s">
        <v>208</v>
      </c>
      <c r="F57" s="279"/>
      <c r="G57" s="281"/>
      <c r="H57" s="283"/>
      <c r="I57" s="106">
        <v>4113</v>
      </c>
      <c r="J57" s="107" t="str">
        <f t="shared" ref="J57:J71" si="18">IF(OR(D57="",D57="-"),"",CONCATENATE("SPT",K57,"/",N57,L57,".",M57))</f>
        <v>SPT103DC/P1A4_GGIO2.Alm1</v>
      </c>
      <c r="K57" s="103" t="str">
        <f>K56</f>
        <v>103DC</v>
      </c>
      <c r="L57" s="104" t="str">
        <f>L56</f>
        <v>GGIO2</v>
      </c>
      <c r="M57" s="108" t="s">
        <v>37</v>
      </c>
      <c r="N57" s="82" t="str">
        <f>N56</f>
        <v>P1A4_</v>
      </c>
      <c r="P57" s="98">
        <v>2</v>
      </c>
      <c r="Q57" s="82" t="s">
        <v>210</v>
      </c>
      <c r="S57" s="82">
        <f t="shared" si="14"/>
        <v>18</v>
      </c>
      <c r="T57" s="82" t="str">
        <f t="shared" si="15"/>
        <v>lb_dd18</v>
      </c>
      <c r="U57" s="82">
        <f t="shared" si="16"/>
        <v>2017</v>
      </c>
    </row>
    <row r="58" spans="1:23" outlineLevel="1" x14ac:dyDescent="0.25">
      <c r="A58" s="277"/>
      <c r="B58" s="268"/>
      <c r="C58" s="86" t="s">
        <v>9</v>
      </c>
      <c r="D58" s="105" t="str">
        <f t="shared" si="17"/>
        <v>2F3 Положение</v>
      </c>
      <c r="E58" s="92" t="s">
        <v>207</v>
      </c>
      <c r="F58" s="279"/>
      <c r="G58" s="281"/>
      <c r="H58" s="283"/>
      <c r="I58" s="106">
        <v>4114</v>
      </c>
      <c r="J58" s="107" t="str">
        <f t="shared" si="18"/>
        <v>SPT103DC/P1A4_GGIO2.Ind2</v>
      </c>
      <c r="K58" s="103" t="str">
        <f t="shared" ref="K58:K71" si="19">K57</f>
        <v>103DC</v>
      </c>
      <c r="L58" s="104" t="str">
        <f t="shared" ref="L58:L71" si="20">L57</f>
        <v>GGIO2</v>
      </c>
      <c r="M58" s="104" t="str">
        <f>_xlfn.IFS(OR(E58="Авария=1",E58="Авария=0"),CONCATENATE("Alm",SUM(COUNTIF($M$56:M57,"*Alm*"),1)),OR(E58="Вкл=1",E58="Вкл=0"),CONCATENATE("Ind",SUM(COUNTIF($M$56:M57,"*Ind*"),1)))</f>
        <v>Ind2</v>
      </c>
      <c r="N58" s="82" t="str">
        <f t="shared" ref="N58:N71" si="21">N57</f>
        <v>P1A4_</v>
      </c>
      <c r="P58" s="98">
        <v>3</v>
      </c>
      <c r="Q58" s="82" t="s">
        <v>209</v>
      </c>
      <c r="S58" s="82">
        <f t="shared" si="14"/>
        <v>19</v>
      </c>
      <c r="T58" s="82" t="str">
        <f t="shared" si="15"/>
        <v>lb_dd19</v>
      </c>
      <c r="U58" s="82">
        <f t="shared" si="16"/>
        <v>2018</v>
      </c>
    </row>
    <row r="59" spans="1:23" outlineLevel="1" x14ac:dyDescent="0.25">
      <c r="A59" s="277"/>
      <c r="B59" s="268"/>
      <c r="C59" s="86" t="s">
        <v>13</v>
      </c>
      <c r="D59" s="105" t="str">
        <f t="shared" si="17"/>
        <v>2F3 Состояние</v>
      </c>
      <c r="E59" s="92" t="s">
        <v>208</v>
      </c>
      <c r="F59" s="279"/>
      <c r="G59" s="281"/>
      <c r="H59" s="283"/>
      <c r="I59" s="106">
        <v>4115</v>
      </c>
      <c r="J59" s="107" t="str">
        <f t="shared" si="18"/>
        <v>SPT103DC/P1A4_GGIO2.Alm2</v>
      </c>
      <c r="K59" s="103" t="str">
        <f t="shared" si="19"/>
        <v>103DC</v>
      </c>
      <c r="L59" s="104" t="str">
        <f t="shared" si="20"/>
        <v>GGIO2</v>
      </c>
      <c r="M59" s="104" t="str">
        <f>_xlfn.IFS(OR(E59="Авария=1",E59="Авария=0"),CONCATENATE("Alm",SUM(COUNTIF($M$56:M58,"*Alm*"),1)),OR(E59="Вкл=1",E59="Вкл=0"),CONCATENATE("Ind",SUM(COUNTIF($M$56:M58,"*Ind*"),1)))</f>
        <v>Alm2</v>
      </c>
      <c r="N59" s="82" t="str">
        <f t="shared" si="21"/>
        <v>P1A4_</v>
      </c>
      <c r="P59" s="98">
        <v>3</v>
      </c>
      <c r="Q59" s="82" t="s">
        <v>210</v>
      </c>
      <c r="S59" s="82">
        <f t="shared" si="14"/>
        <v>20</v>
      </c>
      <c r="T59" s="82" t="str">
        <f t="shared" si="15"/>
        <v>lb_dd20</v>
      </c>
      <c r="U59" s="82">
        <f t="shared" si="16"/>
        <v>2019</v>
      </c>
    </row>
    <row r="60" spans="1:23" outlineLevel="1" x14ac:dyDescent="0.25">
      <c r="A60" s="277"/>
      <c r="B60" s="268"/>
      <c r="C60" s="86" t="s">
        <v>14</v>
      </c>
      <c r="D60" s="105" t="str">
        <f t="shared" si="17"/>
        <v>2F4 Положение</v>
      </c>
      <c r="E60" s="92" t="s">
        <v>207</v>
      </c>
      <c r="F60" s="279"/>
      <c r="G60" s="281"/>
      <c r="H60" s="283"/>
      <c r="I60" s="106">
        <v>4116</v>
      </c>
      <c r="J60" s="107" t="str">
        <f t="shared" si="18"/>
        <v>SPT103DC/P1A4_GGIO2.Ind3</v>
      </c>
      <c r="K60" s="103" t="str">
        <f t="shared" si="19"/>
        <v>103DC</v>
      </c>
      <c r="L60" s="104" t="str">
        <f t="shared" si="20"/>
        <v>GGIO2</v>
      </c>
      <c r="M60" s="104" t="str">
        <f>_xlfn.IFS(OR(E60="Авария=1",E60="Авария=0"),CONCATENATE("Alm",SUM(COUNTIF($M$56:M59,"*Alm*"),1)),OR(E60="Вкл=1",E60="Вкл=0"),CONCATENATE("Ind",SUM(COUNTIF($M$56:M59,"*Ind*"),1)))</f>
        <v>Ind3</v>
      </c>
      <c r="N60" s="82" t="str">
        <f t="shared" si="21"/>
        <v>P1A4_</v>
      </c>
      <c r="P60" s="98">
        <v>4</v>
      </c>
      <c r="Q60" s="82" t="s">
        <v>209</v>
      </c>
      <c r="S60" s="82">
        <f t="shared" si="14"/>
        <v>21</v>
      </c>
      <c r="T60" s="82" t="str">
        <f t="shared" si="15"/>
        <v>lb_dd21</v>
      </c>
      <c r="U60" s="82">
        <f t="shared" si="16"/>
        <v>2020</v>
      </c>
    </row>
    <row r="61" spans="1:23" outlineLevel="1" x14ac:dyDescent="0.25">
      <c r="A61" s="277"/>
      <c r="B61" s="268"/>
      <c r="C61" s="86" t="s">
        <v>15</v>
      </c>
      <c r="D61" s="105" t="str">
        <f t="shared" si="17"/>
        <v>2F4 Состояние</v>
      </c>
      <c r="E61" s="92" t="s">
        <v>208</v>
      </c>
      <c r="F61" s="279"/>
      <c r="G61" s="281"/>
      <c r="H61" s="283"/>
      <c r="I61" s="106">
        <v>4117</v>
      </c>
      <c r="J61" s="107" t="str">
        <f t="shared" si="18"/>
        <v>SPT103DC/P1A4_GGIO2.Alm3</v>
      </c>
      <c r="K61" s="103" t="str">
        <f t="shared" si="19"/>
        <v>103DC</v>
      </c>
      <c r="L61" s="104" t="str">
        <f t="shared" si="20"/>
        <v>GGIO2</v>
      </c>
      <c r="M61" s="104" t="str">
        <f>_xlfn.IFS(OR(E61="Авария=1",E61="Авария=0"),CONCATENATE("Alm",SUM(COUNTIF($M$56:M60,"*Alm*"),1)),OR(E61="Вкл=1",E61="Вкл=0"),CONCATENATE("Ind",SUM(COUNTIF($M$56:M60,"*Ind*"),1)))</f>
        <v>Alm3</v>
      </c>
      <c r="N61" s="82" t="str">
        <f t="shared" si="21"/>
        <v>P1A4_</v>
      </c>
      <c r="P61" s="98">
        <v>4</v>
      </c>
      <c r="Q61" s="82" t="s">
        <v>210</v>
      </c>
      <c r="S61" s="82">
        <f t="shared" si="14"/>
        <v>22</v>
      </c>
      <c r="T61" s="82" t="str">
        <f t="shared" si="15"/>
        <v>lb_dd22</v>
      </c>
      <c r="U61" s="82">
        <f t="shared" si="16"/>
        <v>2021</v>
      </c>
    </row>
    <row r="62" spans="1:23" outlineLevel="1" x14ac:dyDescent="0.25">
      <c r="A62" s="277"/>
      <c r="B62" s="268"/>
      <c r="C62" s="86" t="s">
        <v>16</v>
      </c>
      <c r="D62" s="105" t="str">
        <f t="shared" si="17"/>
        <v>2F5 Положение</v>
      </c>
      <c r="E62" s="92" t="s">
        <v>207</v>
      </c>
      <c r="F62" s="279"/>
      <c r="G62" s="281"/>
      <c r="H62" s="283"/>
      <c r="I62" s="106">
        <v>4118</v>
      </c>
      <c r="J62" s="107" t="str">
        <f t="shared" si="18"/>
        <v>SPT103DC/P1A4_GGIO2.Ind4</v>
      </c>
      <c r="K62" s="103" t="str">
        <f t="shared" si="19"/>
        <v>103DC</v>
      </c>
      <c r="L62" s="104" t="str">
        <f t="shared" si="20"/>
        <v>GGIO2</v>
      </c>
      <c r="M62" s="104" t="str">
        <f>_xlfn.IFS(OR(E62="Авария=1",E62="Авария=0"),CONCATENATE("Alm",SUM(COUNTIF($M$56:M61,"*Alm*"),1)),OR(E62="Вкл=1",E62="Вкл=0"),CONCATENATE("Ind",SUM(COUNTIF($M$56:M61,"*Ind*"),1)))</f>
        <v>Ind4</v>
      </c>
      <c r="N62" s="82" t="str">
        <f t="shared" si="21"/>
        <v>P1A4_</v>
      </c>
      <c r="P62" s="98">
        <v>5</v>
      </c>
      <c r="Q62" s="82" t="s">
        <v>209</v>
      </c>
      <c r="S62" s="82">
        <f t="shared" si="14"/>
        <v>23</v>
      </c>
      <c r="T62" s="82" t="str">
        <f t="shared" si="15"/>
        <v>lb_dd23</v>
      </c>
      <c r="U62" s="82">
        <f t="shared" si="16"/>
        <v>2022</v>
      </c>
    </row>
    <row r="63" spans="1:23" outlineLevel="1" x14ac:dyDescent="0.25">
      <c r="A63" s="277"/>
      <c r="B63" s="268"/>
      <c r="C63" s="86" t="s">
        <v>17</v>
      </c>
      <c r="D63" s="105" t="str">
        <f t="shared" si="17"/>
        <v>2F5 Состояние</v>
      </c>
      <c r="E63" s="92" t="s">
        <v>208</v>
      </c>
      <c r="F63" s="279"/>
      <c r="G63" s="281"/>
      <c r="H63" s="283"/>
      <c r="I63" s="106">
        <v>4119</v>
      </c>
      <c r="J63" s="107" t="str">
        <f t="shared" si="18"/>
        <v>SPT103DC/P1A4_GGIO2.Alm4</v>
      </c>
      <c r="K63" s="103" t="str">
        <f t="shared" si="19"/>
        <v>103DC</v>
      </c>
      <c r="L63" s="104" t="str">
        <f t="shared" si="20"/>
        <v>GGIO2</v>
      </c>
      <c r="M63" s="104" t="str">
        <f>_xlfn.IFS(OR(E63="Авария=1",E63="Авария=0"),CONCATENATE("Alm",SUM(COUNTIF($M$56:M62,"*Alm*"),1)),OR(E63="Вкл=1",E63="Вкл=0"),CONCATENATE("Ind",SUM(COUNTIF($M$56:M62,"*Ind*"),1)))</f>
        <v>Alm4</v>
      </c>
      <c r="N63" s="82" t="str">
        <f t="shared" si="21"/>
        <v>P1A4_</v>
      </c>
      <c r="P63" s="98">
        <v>5</v>
      </c>
      <c r="Q63" s="82" t="s">
        <v>210</v>
      </c>
      <c r="S63" s="82">
        <f t="shared" si="14"/>
        <v>24</v>
      </c>
      <c r="T63" s="82" t="str">
        <f t="shared" si="15"/>
        <v>lb_dd24</v>
      </c>
      <c r="U63" s="82">
        <f t="shared" si="16"/>
        <v>2023</v>
      </c>
    </row>
    <row r="64" spans="1:23" outlineLevel="1" x14ac:dyDescent="0.25">
      <c r="A64" s="277"/>
      <c r="B64" s="268"/>
      <c r="C64" s="86" t="s">
        <v>18</v>
      </c>
      <c r="D64" s="105" t="str">
        <f t="shared" si="17"/>
        <v>2F6 Положение</v>
      </c>
      <c r="E64" s="92" t="s">
        <v>207</v>
      </c>
      <c r="F64" s="279"/>
      <c r="G64" s="281"/>
      <c r="H64" s="283"/>
      <c r="I64" s="106">
        <v>4120</v>
      </c>
      <c r="J64" s="107" t="str">
        <f t="shared" si="18"/>
        <v>SPT103DC/P1A4_GGIO2.Ind5</v>
      </c>
      <c r="K64" s="103" t="str">
        <f t="shared" si="19"/>
        <v>103DC</v>
      </c>
      <c r="L64" s="104" t="str">
        <f t="shared" si="20"/>
        <v>GGIO2</v>
      </c>
      <c r="M64" s="104" t="str">
        <f>_xlfn.IFS(OR(E64="Авария=1",E64="Авария=0"),CONCATENATE("Alm",SUM(COUNTIF($M$56:M63,"*Alm*"),1)),OR(E64="Вкл=1",E64="Вкл=0"),CONCATENATE("Ind",SUM(COUNTIF($M$56:M63,"*Ind*"),1)))</f>
        <v>Ind5</v>
      </c>
      <c r="N64" s="82" t="str">
        <f t="shared" si="21"/>
        <v>P1A4_</v>
      </c>
      <c r="P64" s="109" t="s">
        <v>16</v>
      </c>
      <c r="Q64" s="82" t="s">
        <v>209</v>
      </c>
      <c r="S64" s="82">
        <f t="shared" si="14"/>
        <v>25</v>
      </c>
      <c r="T64" s="82" t="str">
        <f t="shared" si="15"/>
        <v>lb_dd25</v>
      </c>
      <c r="U64" s="82">
        <f t="shared" si="16"/>
        <v>2024</v>
      </c>
    </row>
    <row r="65" spans="1:23" outlineLevel="1" x14ac:dyDescent="0.25">
      <c r="A65" s="277"/>
      <c r="B65" s="268"/>
      <c r="C65" s="86" t="s">
        <v>19</v>
      </c>
      <c r="D65" s="105" t="str">
        <f t="shared" si="17"/>
        <v>2F6 Состояние</v>
      </c>
      <c r="E65" s="92" t="s">
        <v>208</v>
      </c>
      <c r="F65" s="279"/>
      <c r="G65" s="281"/>
      <c r="H65" s="283"/>
      <c r="I65" s="106">
        <v>4121</v>
      </c>
      <c r="J65" s="107" t="str">
        <f t="shared" si="18"/>
        <v>SPT103DC/P1A4_GGIO2.Alm5</v>
      </c>
      <c r="K65" s="103" t="str">
        <f t="shared" si="19"/>
        <v>103DC</v>
      </c>
      <c r="L65" s="104" t="str">
        <f t="shared" si="20"/>
        <v>GGIO2</v>
      </c>
      <c r="M65" s="104" t="str">
        <f>_xlfn.IFS(OR(E65="Авария=1",E65="Авария=0"),CONCATENATE("Alm",SUM(COUNTIF($M$56:M64,"*Alm*"),1)),OR(E65="Вкл=1",E65="Вкл=0"),CONCATENATE("Ind",SUM(COUNTIF($M$56:M64,"*Ind*"),1)))</f>
        <v>Alm5</v>
      </c>
      <c r="N65" s="82" t="str">
        <f t="shared" si="21"/>
        <v>P1A4_</v>
      </c>
      <c r="P65" s="109" t="s">
        <v>16</v>
      </c>
      <c r="Q65" s="82" t="s">
        <v>210</v>
      </c>
      <c r="S65" s="82">
        <f t="shared" si="14"/>
        <v>26</v>
      </c>
      <c r="T65" s="82" t="str">
        <f t="shared" si="15"/>
        <v>lb_dd26</v>
      </c>
      <c r="U65" s="82">
        <f t="shared" si="16"/>
        <v>2025</v>
      </c>
    </row>
    <row r="66" spans="1:23" outlineLevel="1" x14ac:dyDescent="0.25">
      <c r="A66" s="277"/>
      <c r="B66" s="268"/>
      <c r="C66" s="86" t="s">
        <v>20</v>
      </c>
      <c r="D66" s="105" t="str">
        <f t="shared" si="17"/>
        <v>2F3.1 Положение</v>
      </c>
      <c r="E66" s="92" t="s">
        <v>207</v>
      </c>
      <c r="F66" s="279"/>
      <c r="G66" s="281"/>
      <c r="H66" s="283"/>
      <c r="I66" s="106">
        <v>4122</v>
      </c>
      <c r="J66" s="107" t="str">
        <f t="shared" si="18"/>
        <v>SPT103DC/P1A4_GGIO2.Ind6</v>
      </c>
      <c r="K66" s="103" t="str">
        <f t="shared" si="19"/>
        <v>103DC</v>
      </c>
      <c r="L66" s="104" t="str">
        <f t="shared" si="20"/>
        <v>GGIO2</v>
      </c>
      <c r="M66" s="104" t="str">
        <f>_xlfn.IFS(OR(E66="Авария=1",E66="Авария=0"),CONCATENATE("Alm",SUM(COUNTIF($M$56:M65,"*Alm*"),1)),OR(E66="Вкл=1",E66="Вкл=0"),CONCATENATE("Ind",SUM(COUNTIF($M$56:M65,"*Ind*"),1)))</f>
        <v>Ind6</v>
      </c>
      <c r="N66" s="82" t="str">
        <f t="shared" si="21"/>
        <v>P1A4_</v>
      </c>
      <c r="P66" s="109" t="s">
        <v>291</v>
      </c>
      <c r="Q66" s="82" t="s">
        <v>209</v>
      </c>
      <c r="S66" s="82">
        <f t="shared" si="14"/>
        <v>27</v>
      </c>
      <c r="T66" s="82" t="str">
        <f t="shared" si="15"/>
        <v>lb_dd27</v>
      </c>
      <c r="U66" s="82">
        <f t="shared" si="16"/>
        <v>2026</v>
      </c>
    </row>
    <row r="67" spans="1:23" outlineLevel="1" x14ac:dyDescent="0.25">
      <c r="A67" s="277"/>
      <c r="B67" s="268"/>
      <c r="C67" s="86" t="s">
        <v>21</v>
      </c>
      <c r="D67" s="105" t="str">
        <f t="shared" si="17"/>
        <v>2F3.1 Состояние</v>
      </c>
      <c r="E67" s="92" t="s">
        <v>208</v>
      </c>
      <c r="F67" s="279"/>
      <c r="G67" s="281"/>
      <c r="H67" s="283"/>
      <c r="I67" s="106">
        <v>4123</v>
      </c>
      <c r="J67" s="107" t="str">
        <f t="shared" si="18"/>
        <v>SPT103DC/P1A4_GGIO2.Alm6</v>
      </c>
      <c r="K67" s="103" t="str">
        <f t="shared" si="19"/>
        <v>103DC</v>
      </c>
      <c r="L67" s="104" t="str">
        <f t="shared" si="20"/>
        <v>GGIO2</v>
      </c>
      <c r="M67" s="104" t="str">
        <f>_xlfn.IFS(OR(E67="Авария=1",E67="Авария=0"),CONCATENATE("Alm",SUM(COUNTIF($M$56:M66,"*Alm*"),1)),OR(E67="Вкл=1",E67="Вкл=0"),CONCATENATE("Ind",SUM(COUNTIF($M$56:M66,"*Ind*"),1)))</f>
        <v>Alm6</v>
      </c>
      <c r="N67" s="82" t="str">
        <f t="shared" si="21"/>
        <v>P1A4_</v>
      </c>
      <c r="P67" s="109" t="s">
        <v>291</v>
      </c>
      <c r="Q67" s="82" t="s">
        <v>210</v>
      </c>
      <c r="S67" s="82">
        <f t="shared" si="14"/>
        <v>28</v>
      </c>
      <c r="T67" s="82" t="str">
        <f t="shared" si="15"/>
        <v>lb_dd28</v>
      </c>
      <c r="U67" s="82">
        <f t="shared" si="16"/>
        <v>2027</v>
      </c>
    </row>
    <row r="68" spans="1:23" outlineLevel="1" x14ac:dyDescent="0.25">
      <c r="A68" s="277"/>
      <c r="B68" s="268"/>
      <c r="C68" s="86" t="s">
        <v>22</v>
      </c>
      <c r="D68" s="105" t="str">
        <f t="shared" si="17"/>
        <v>2F3.2 Положение</v>
      </c>
      <c r="E68" s="92" t="s">
        <v>207</v>
      </c>
      <c r="F68" s="279"/>
      <c r="G68" s="281"/>
      <c r="H68" s="283"/>
      <c r="I68" s="106">
        <v>4124</v>
      </c>
      <c r="J68" s="107" t="str">
        <f t="shared" si="18"/>
        <v>SPT103DC/P1A4_GGIO2.Ind7</v>
      </c>
      <c r="K68" s="103" t="str">
        <f t="shared" si="19"/>
        <v>103DC</v>
      </c>
      <c r="L68" s="104" t="str">
        <f t="shared" si="20"/>
        <v>GGIO2</v>
      </c>
      <c r="M68" s="104" t="str">
        <f>_xlfn.IFS(OR(E68="Авария=1",E68="Авария=0"),CONCATENATE("Alm",SUM(COUNTIF($M$56:M67,"*Alm*"),1)),OR(E68="Вкл=1",E68="Вкл=0"),CONCATENATE("Ind",SUM(COUNTIF($M$56:M67,"*Ind*"),1)))</f>
        <v>Ind7</v>
      </c>
      <c r="N68" s="82" t="str">
        <f t="shared" si="21"/>
        <v>P1A4_</v>
      </c>
      <c r="P68" s="109" t="s">
        <v>292</v>
      </c>
      <c r="Q68" s="82" t="s">
        <v>209</v>
      </c>
      <c r="S68" s="82">
        <f t="shared" si="14"/>
        <v>29</v>
      </c>
      <c r="T68" s="82" t="str">
        <f t="shared" si="15"/>
        <v>lb_dd29</v>
      </c>
      <c r="U68" s="82">
        <f t="shared" si="16"/>
        <v>2028</v>
      </c>
    </row>
    <row r="69" spans="1:23" outlineLevel="1" x14ac:dyDescent="0.25">
      <c r="A69" s="277"/>
      <c r="B69" s="268"/>
      <c r="C69" s="86" t="s">
        <v>23</v>
      </c>
      <c r="D69" s="105" t="str">
        <f t="shared" si="17"/>
        <v>2F3.3 Состояние</v>
      </c>
      <c r="E69" s="92" t="s">
        <v>208</v>
      </c>
      <c r="F69" s="279"/>
      <c r="G69" s="281"/>
      <c r="H69" s="283"/>
      <c r="I69" s="106">
        <v>4125</v>
      </c>
      <c r="J69" s="107" t="str">
        <f t="shared" si="18"/>
        <v>SPT103DC/P1A4_GGIO2.Alm7</v>
      </c>
      <c r="K69" s="103" t="str">
        <f t="shared" si="19"/>
        <v>103DC</v>
      </c>
      <c r="L69" s="104" t="str">
        <f t="shared" si="20"/>
        <v>GGIO2</v>
      </c>
      <c r="M69" s="104" t="str">
        <f>_xlfn.IFS(OR(E69="Авария=1",E69="Авария=0"),CONCATENATE("Alm",SUM(COUNTIF($M$56:M68,"*Alm*"),1)),OR(E69="Вкл=1",E69="Вкл=0"),CONCATENATE("Ind",SUM(COUNTIF($M$56:M68,"*Ind*"),1)))</f>
        <v>Alm7</v>
      </c>
      <c r="N69" s="82" t="str">
        <f t="shared" si="21"/>
        <v>P1A4_</v>
      </c>
      <c r="P69" s="109" t="s">
        <v>628</v>
      </c>
      <c r="Q69" s="82" t="s">
        <v>210</v>
      </c>
      <c r="S69" s="82">
        <f t="shared" si="14"/>
        <v>30</v>
      </c>
      <c r="T69" s="82" t="str">
        <f t="shared" si="15"/>
        <v>lb_dd30</v>
      </c>
      <c r="U69" s="82">
        <f t="shared" si="16"/>
        <v>2029</v>
      </c>
    </row>
    <row r="70" spans="1:23" outlineLevel="1" x14ac:dyDescent="0.25">
      <c r="A70" s="277"/>
      <c r="B70" s="268"/>
      <c r="C70" s="86" t="s">
        <v>24</v>
      </c>
      <c r="D70" s="105" t="str">
        <f t="shared" si="17"/>
        <v>2F3.4 Положение</v>
      </c>
      <c r="E70" s="92" t="s">
        <v>207</v>
      </c>
      <c r="F70" s="279"/>
      <c r="G70" s="281"/>
      <c r="H70" s="283"/>
      <c r="I70" s="106">
        <v>4126</v>
      </c>
      <c r="J70" s="107" t="str">
        <f t="shared" si="18"/>
        <v>SPT103DC/P1A4_GGIO2.Ind8</v>
      </c>
      <c r="K70" s="103" t="str">
        <f t="shared" si="19"/>
        <v>103DC</v>
      </c>
      <c r="L70" s="104" t="str">
        <f t="shared" si="20"/>
        <v>GGIO2</v>
      </c>
      <c r="M70" s="104" t="str">
        <f>_xlfn.IFS(OR(E70="Авария=1",E70="Авария=0"),CONCATENATE("Alm",SUM(COUNTIF($M$56:M69,"*Alm*"),1)),OR(E70="Вкл=1",E70="Вкл=0"),CONCATENATE("Ind",SUM(COUNTIF($M$56:M69,"*Ind*"),1)))</f>
        <v>Ind8</v>
      </c>
      <c r="N70" s="82" t="str">
        <f t="shared" si="21"/>
        <v>P1A4_</v>
      </c>
      <c r="P70" s="109" t="s">
        <v>629</v>
      </c>
      <c r="Q70" s="82" t="s">
        <v>209</v>
      </c>
      <c r="S70" s="82">
        <f t="shared" si="14"/>
        <v>31</v>
      </c>
      <c r="T70" s="82" t="str">
        <f t="shared" si="15"/>
        <v>lb_dd31</v>
      </c>
      <c r="U70" s="82">
        <f t="shared" si="16"/>
        <v>2030</v>
      </c>
    </row>
    <row r="71" spans="1:23" outlineLevel="1" x14ac:dyDescent="0.25">
      <c r="A71" s="277"/>
      <c r="B71" s="268"/>
      <c r="C71" s="86" t="s">
        <v>25</v>
      </c>
      <c r="D71" s="211" t="s">
        <v>294</v>
      </c>
      <c r="E71" s="92" t="s">
        <v>208</v>
      </c>
      <c r="F71" s="280"/>
      <c r="G71" s="281"/>
      <c r="H71" s="284"/>
      <c r="I71" s="106">
        <v>4127</v>
      </c>
      <c r="J71" s="107" t="str">
        <f t="shared" si="18"/>
        <v>SPT103DC/P1A4_GGIO2.Alm8</v>
      </c>
      <c r="K71" s="103" t="str">
        <f t="shared" si="19"/>
        <v>103DC</v>
      </c>
      <c r="L71" s="104" t="str">
        <f t="shared" si="20"/>
        <v>GGIO2</v>
      </c>
      <c r="M71" s="104" t="str">
        <f>_xlfn.IFS(OR(E71="Авария=1",E71="Авария=0"),CONCATENATE("Alm",SUM(COUNTIF($M$56:M70,"*Alm*"),1)),OR(E71="Вкл=1",E71="Вкл=0"),CONCATENATE("Ind",SUM(COUNTIF($M$56:M70,"*Ind*"),1)))</f>
        <v>Alm8</v>
      </c>
      <c r="N71" s="82" t="str">
        <f t="shared" si="21"/>
        <v>P1A4_</v>
      </c>
      <c r="P71" s="109" t="s">
        <v>630</v>
      </c>
      <c r="Q71" s="82" t="s">
        <v>210</v>
      </c>
      <c r="S71" s="82">
        <f t="shared" si="14"/>
        <v>32</v>
      </c>
      <c r="T71" s="82" t="str">
        <f t="shared" si="15"/>
        <v>lb_dd32</v>
      </c>
      <c r="U71" s="82">
        <f t="shared" si="16"/>
        <v>2031</v>
      </c>
    </row>
    <row r="72" spans="1:23" x14ac:dyDescent="0.25">
      <c r="A72" s="265"/>
      <c r="B72" s="266"/>
      <c r="C72" s="266"/>
      <c r="D72" s="266"/>
      <c r="E72" s="266"/>
      <c r="F72" s="266"/>
      <c r="G72" s="266"/>
      <c r="H72" s="266"/>
      <c r="I72" s="266"/>
      <c r="J72" s="267"/>
    </row>
    <row r="73" spans="1:23" x14ac:dyDescent="0.25">
      <c r="A73" s="273" t="s">
        <v>311</v>
      </c>
      <c r="B73" s="273"/>
      <c r="C73" s="273"/>
      <c r="D73" s="273"/>
      <c r="E73" s="273"/>
      <c r="F73" s="273"/>
      <c r="G73" s="273"/>
      <c r="H73" s="273"/>
      <c r="I73" s="273"/>
      <c r="J73" s="273"/>
      <c r="M73" s="104"/>
    </row>
    <row r="74" spans="1:23" hidden="1" outlineLevel="1" x14ac:dyDescent="0.25">
      <c r="A74" s="277">
        <v>15</v>
      </c>
      <c r="B74" s="268" t="s">
        <v>7</v>
      </c>
      <c r="C74" s="86" t="s">
        <v>12</v>
      </c>
      <c r="D74" s="105" t="str">
        <f>CONCATENATE("1F",P74," ",Q74)</f>
        <v>1F8 Положение</v>
      </c>
      <c r="E74" s="92" t="s">
        <v>207</v>
      </c>
      <c r="F74" s="278" t="s">
        <v>28</v>
      </c>
      <c r="G74" s="281" t="s">
        <v>329</v>
      </c>
      <c r="H74" s="282" t="s">
        <v>59</v>
      </c>
      <c r="I74" s="106">
        <v>4128</v>
      </c>
      <c r="J74" s="107" t="str">
        <f>IF(OR(D74="",D74="-"),"",CONCATENATE("SPT021",K74,"/",L74,".",M74))</f>
        <v>SPT021DC/GGIO3.Ind1</v>
      </c>
      <c r="K74" s="103" t="s">
        <v>78</v>
      </c>
      <c r="L74" s="104" t="s">
        <v>246</v>
      </c>
      <c r="M74" s="104" t="s">
        <v>36</v>
      </c>
      <c r="P74" s="98">
        <v>8</v>
      </c>
      <c r="Q74" s="82" t="s">
        <v>209</v>
      </c>
      <c r="S74" s="82">
        <f t="shared" ref="S74:S89" si="22">I74-4095</f>
        <v>33</v>
      </c>
      <c r="T74" s="82" t="str">
        <f t="shared" ref="T74:T107" si="23">_xlfn.CONCAT($T$1,S74)</f>
        <v>lb_dd33</v>
      </c>
      <c r="U74" s="82">
        <f t="shared" ref="U74:U89" si="24">S74+1999</f>
        <v>2032</v>
      </c>
      <c r="V74" s="82">
        <v>817</v>
      </c>
      <c r="W74" s="82">
        <v>1066</v>
      </c>
    </row>
    <row r="75" spans="1:23" hidden="1" outlineLevel="1" x14ac:dyDescent="0.25">
      <c r="A75" s="277"/>
      <c r="B75" s="268"/>
      <c r="C75" s="86" t="s">
        <v>8</v>
      </c>
      <c r="D75" s="105" t="str">
        <f t="shared" ref="D75:D79" si="25">CONCATENATE("1F",P75," ",Q75)</f>
        <v>1F8 Состояние</v>
      </c>
      <c r="E75" s="92" t="s">
        <v>208</v>
      </c>
      <c r="F75" s="279"/>
      <c r="G75" s="281"/>
      <c r="H75" s="283"/>
      <c r="I75" s="106">
        <v>4129</v>
      </c>
      <c r="J75" s="107" t="str">
        <f t="shared" ref="J75:J89" si="26">IF(OR(D75="",D75="-"),"",CONCATENATE("SPT021",K75,"/",L75,".",M75))</f>
        <v>SPT021DC/GGIO3.Alm1</v>
      </c>
      <c r="K75" s="103" t="s">
        <v>78</v>
      </c>
      <c r="L75" s="104" t="s">
        <v>246</v>
      </c>
      <c r="M75" s="108" t="s">
        <v>37</v>
      </c>
      <c r="P75" s="98">
        <v>8</v>
      </c>
      <c r="Q75" s="82" t="s">
        <v>210</v>
      </c>
      <c r="S75" s="82">
        <f t="shared" si="22"/>
        <v>34</v>
      </c>
      <c r="T75" s="82" t="str">
        <f t="shared" si="23"/>
        <v>lb_dd34</v>
      </c>
      <c r="U75" s="82">
        <f t="shared" si="24"/>
        <v>2033</v>
      </c>
    </row>
    <row r="76" spans="1:23" hidden="1" outlineLevel="1" x14ac:dyDescent="0.25">
      <c r="A76" s="277"/>
      <c r="B76" s="268"/>
      <c r="C76" s="86" t="s">
        <v>9</v>
      </c>
      <c r="D76" s="105" t="str">
        <f t="shared" si="25"/>
        <v>1F9 Положение</v>
      </c>
      <c r="E76" s="92" t="s">
        <v>207</v>
      </c>
      <c r="F76" s="279"/>
      <c r="G76" s="281"/>
      <c r="H76" s="283"/>
      <c r="I76" s="106">
        <v>4130</v>
      </c>
      <c r="J76" s="107" t="str">
        <f t="shared" si="26"/>
        <v>SPT021DC/GGIO3.Ind2</v>
      </c>
      <c r="K76" s="103" t="s">
        <v>78</v>
      </c>
      <c r="L76" s="104" t="s">
        <v>246</v>
      </c>
      <c r="M76" s="104" t="s">
        <v>38</v>
      </c>
      <c r="P76" s="98">
        <v>9</v>
      </c>
      <c r="Q76" s="82" t="s">
        <v>209</v>
      </c>
      <c r="S76" s="82">
        <f t="shared" si="22"/>
        <v>35</v>
      </c>
      <c r="T76" s="82" t="str">
        <f t="shared" si="23"/>
        <v>lb_dd35</v>
      </c>
      <c r="U76" s="82">
        <f t="shared" si="24"/>
        <v>2034</v>
      </c>
    </row>
    <row r="77" spans="1:23" hidden="1" outlineLevel="1" x14ac:dyDescent="0.25">
      <c r="A77" s="277"/>
      <c r="B77" s="268"/>
      <c r="C77" s="86" t="s">
        <v>13</v>
      </c>
      <c r="D77" s="105" t="str">
        <f t="shared" si="25"/>
        <v>1F9 Состояние</v>
      </c>
      <c r="E77" s="92" t="s">
        <v>208</v>
      </c>
      <c r="F77" s="279"/>
      <c r="G77" s="281"/>
      <c r="H77" s="283"/>
      <c r="I77" s="106">
        <v>4131</v>
      </c>
      <c r="J77" s="107" t="str">
        <f t="shared" si="26"/>
        <v>SPT021DC/GGIO3.Alm2</v>
      </c>
      <c r="K77" s="103" t="s">
        <v>78</v>
      </c>
      <c r="L77" s="104" t="s">
        <v>246</v>
      </c>
      <c r="M77" s="108" t="s">
        <v>39</v>
      </c>
      <c r="P77" s="98">
        <v>9</v>
      </c>
      <c r="Q77" s="82" t="s">
        <v>210</v>
      </c>
      <c r="S77" s="82">
        <f t="shared" si="22"/>
        <v>36</v>
      </c>
      <c r="T77" s="82" t="str">
        <f t="shared" si="23"/>
        <v>lb_dd36</v>
      </c>
      <c r="U77" s="82">
        <f t="shared" si="24"/>
        <v>2035</v>
      </c>
    </row>
    <row r="78" spans="1:23" hidden="1" outlineLevel="1" x14ac:dyDescent="0.25">
      <c r="A78" s="277"/>
      <c r="B78" s="268"/>
      <c r="C78" s="86" t="s">
        <v>14</v>
      </c>
      <c r="D78" s="105" t="str">
        <f t="shared" si="25"/>
        <v>1F10 Положение</v>
      </c>
      <c r="E78" s="92" t="s">
        <v>207</v>
      </c>
      <c r="F78" s="279"/>
      <c r="G78" s="281"/>
      <c r="H78" s="283"/>
      <c r="I78" s="106">
        <v>4132</v>
      </c>
      <c r="J78" s="107" t="str">
        <f t="shared" si="26"/>
        <v>SPT021DC/GGIO3.Ind3</v>
      </c>
      <c r="K78" s="103" t="s">
        <v>78</v>
      </c>
      <c r="L78" s="104" t="s">
        <v>246</v>
      </c>
      <c r="M78" s="104" t="s">
        <v>40</v>
      </c>
      <c r="P78" s="98">
        <v>10</v>
      </c>
      <c r="Q78" s="82" t="s">
        <v>209</v>
      </c>
      <c r="S78" s="82">
        <f t="shared" si="22"/>
        <v>37</v>
      </c>
      <c r="T78" s="82" t="str">
        <f t="shared" si="23"/>
        <v>lb_dd37</v>
      </c>
      <c r="U78" s="82">
        <f t="shared" si="24"/>
        <v>2036</v>
      </c>
    </row>
    <row r="79" spans="1:23" hidden="1" outlineLevel="1" x14ac:dyDescent="0.25">
      <c r="A79" s="277"/>
      <c r="B79" s="268"/>
      <c r="C79" s="86" t="s">
        <v>15</v>
      </c>
      <c r="D79" s="105" t="str">
        <f t="shared" si="25"/>
        <v>1F10 Состояние</v>
      </c>
      <c r="E79" s="92" t="s">
        <v>208</v>
      </c>
      <c r="F79" s="279"/>
      <c r="G79" s="281"/>
      <c r="H79" s="283"/>
      <c r="I79" s="106">
        <v>4133</v>
      </c>
      <c r="J79" s="107" t="str">
        <f t="shared" si="26"/>
        <v>SPT021DC/GGIO3.Alm3</v>
      </c>
      <c r="K79" s="103" t="s">
        <v>78</v>
      </c>
      <c r="L79" s="104" t="s">
        <v>246</v>
      </c>
      <c r="M79" s="108" t="s">
        <v>41</v>
      </c>
      <c r="P79" s="98">
        <v>10</v>
      </c>
      <c r="Q79" s="82" t="s">
        <v>210</v>
      </c>
      <c r="S79" s="82">
        <f t="shared" si="22"/>
        <v>38</v>
      </c>
      <c r="T79" s="82" t="str">
        <f t="shared" si="23"/>
        <v>lb_dd38</v>
      </c>
      <c r="U79" s="82">
        <f t="shared" si="24"/>
        <v>2037</v>
      </c>
    </row>
    <row r="80" spans="1:23" hidden="1" outlineLevel="1" x14ac:dyDescent="0.25">
      <c r="A80" s="277"/>
      <c r="B80" s="268"/>
      <c r="C80" s="86" t="s">
        <v>16</v>
      </c>
      <c r="D80" s="88" t="s">
        <v>29</v>
      </c>
      <c r="E80" s="88" t="s">
        <v>29</v>
      </c>
      <c r="F80" s="279"/>
      <c r="G80" s="281"/>
      <c r="H80" s="283"/>
      <c r="I80" s="106">
        <v>4134</v>
      </c>
      <c r="J80" s="107" t="str">
        <f t="shared" si="26"/>
        <v/>
      </c>
      <c r="M80" s="104"/>
      <c r="S80" s="82">
        <f t="shared" si="22"/>
        <v>39</v>
      </c>
      <c r="T80" s="82" t="str">
        <f t="shared" si="23"/>
        <v>lb_dd39</v>
      </c>
      <c r="U80" s="82">
        <f t="shared" si="24"/>
        <v>2038</v>
      </c>
    </row>
    <row r="81" spans="1:23" hidden="1" outlineLevel="1" x14ac:dyDescent="0.25">
      <c r="A81" s="277"/>
      <c r="B81" s="268"/>
      <c r="C81" s="86" t="s">
        <v>17</v>
      </c>
      <c r="D81" s="105" t="s">
        <v>295</v>
      </c>
      <c r="E81" s="92" t="s">
        <v>208</v>
      </c>
      <c r="F81" s="279"/>
      <c r="G81" s="281"/>
      <c r="H81" s="283"/>
      <c r="I81" s="106">
        <v>4135</v>
      </c>
      <c r="J81" s="107" t="str">
        <f t="shared" si="26"/>
        <v>SPT021DC/GGIO3.Alm4</v>
      </c>
      <c r="K81" s="103" t="s">
        <v>78</v>
      </c>
      <c r="L81" s="104" t="s">
        <v>246</v>
      </c>
      <c r="M81" s="108" t="s">
        <v>43</v>
      </c>
      <c r="S81" s="82">
        <f t="shared" si="22"/>
        <v>40</v>
      </c>
      <c r="T81" s="82" t="str">
        <f t="shared" si="23"/>
        <v>lb_dd40</v>
      </c>
      <c r="U81" s="82">
        <f t="shared" si="24"/>
        <v>2039</v>
      </c>
    </row>
    <row r="82" spans="1:23" hidden="1" outlineLevel="1" x14ac:dyDescent="0.25">
      <c r="A82" s="277"/>
      <c r="B82" s="268"/>
      <c r="C82" s="86" t="s">
        <v>18</v>
      </c>
      <c r="D82" s="105" t="str">
        <f>CONCATENATE("2F",P82," ",Q82)</f>
        <v>2F8 Положение</v>
      </c>
      <c r="E82" s="92" t="s">
        <v>207</v>
      </c>
      <c r="F82" s="279"/>
      <c r="G82" s="281"/>
      <c r="H82" s="283"/>
      <c r="I82" s="106">
        <v>4136</v>
      </c>
      <c r="J82" s="107" t="str">
        <f t="shared" si="26"/>
        <v>SPT021DC/GGIO3.Ind4</v>
      </c>
      <c r="K82" s="103" t="s">
        <v>78</v>
      </c>
      <c r="L82" s="104" t="s">
        <v>246</v>
      </c>
      <c r="M82" s="104" t="s">
        <v>42</v>
      </c>
      <c r="P82" s="98">
        <v>8</v>
      </c>
      <c r="Q82" s="82" t="s">
        <v>209</v>
      </c>
      <c r="S82" s="82">
        <f t="shared" si="22"/>
        <v>41</v>
      </c>
      <c r="T82" s="82" t="str">
        <f t="shared" si="23"/>
        <v>lb_dd41</v>
      </c>
      <c r="U82" s="82">
        <f t="shared" si="24"/>
        <v>2040</v>
      </c>
    </row>
    <row r="83" spans="1:23" hidden="1" outlineLevel="1" x14ac:dyDescent="0.25">
      <c r="A83" s="277"/>
      <c r="B83" s="268"/>
      <c r="C83" s="86" t="s">
        <v>19</v>
      </c>
      <c r="D83" s="105" t="str">
        <f t="shared" ref="D83:D87" si="27">CONCATENATE("2F",P83," ",Q83)</f>
        <v>2F8 Состояние</v>
      </c>
      <c r="E83" s="92" t="s">
        <v>208</v>
      </c>
      <c r="F83" s="279"/>
      <c r="G83" s="281"/>
      <c r="H83" s="283"/>
      <c r="I83" s="106">
        <v>4137</v>
      </c>
      <c r="J83" s="107" t="str">
        <f t="shared" si="26"/>
        <v>SPT021DC/GGIO3.Alm5</v>
      </c>
      <c r="K83" s="103" t="s">
        <v>78</v>
      </c>
      <c r="L83" s="104" t="s">
        <v>246</v>
      </c>
      <c r="M83" s="108" t="s">
        <v>45</v>
      </c>
      <c r="P83" s="98">
        <v>8</v>
      </c>
      <c r="Q83" s="82" t="s">
        <v>210</v>
      </c>
      <c r="S83" s="82">
        <f t="shared" si="22"/>
        <v>42</v>
      </c>
      <c r="T83" s="82" t="str">
        <f t="shared" si="23"/>
        <v>lb_dd42</v>
      </c>
      <c r="U83" s="82">
        <f t="shared" si="24"/>
        <v>2041</v>
      </c>
    </row>
    <row r="84" spans="1:23" hidden="1" outlineLevel="1" x14ac:dyDescent="0.25">
      <c r="A84" s="277"/>
      <c r="B84" s="268"/>
      <c r="C84" s="86" t="s">
        <v>20</v>
      </c>
      <c r="D84" s="105" t="str">
        <f t="shared" si="27"/>
        <v>2F9 Положение</v>
      </c>
      <c r="E84" s="92" t="s">
        <v>207</v>
      </c>
      <c r="F84" s="279"/>
      <c r="G84" s="281"/>
      <c r="H84" s="283"/>
      <c r="I84" s="106">
        <v>4138</v>
      </c>
      <c r="J84" s="107" t="str">
        <f t="shared" si="26"/>
        <v>SPT021DC/GGIO3.Ind5</v>
      </c>
      <c r="K84" s="103" t="s">
        <v>78</v>
      </c>
      <c r="L84" s="104" t="s">
        <v>246</v>
      </c>
      <c r="M84" s="104" t="s">
        <v>44</v>
      </c>
      <c r="P84" s="98">
        <v>9</v>
      </c>
      <c r="Q84" s="82" t="s">
        <v>209</v>
      </c>
      <c r="S84" s="82">
        <f t="shared" si="22"/>
        <v>43</v>
      </c>
      <c r="T84" s="82" t="str">
        <f t="shared" si="23"/>
        <v>lb_dd43</v>
      </c>
      <c r="U84" s="82">
        <f t="shared" si="24"/>
        <v>2042</v>
      </c>
    </row>
    <row r="85" spans="1:23" hidden="1" outlineLevel="1" x14ac:dyDescent="0.25">
      <c r="A85" s="277"/>
      <c r="B85" s="268"/>
      <c r="C85" s="86" t="s">
        <v>21</v>
      </c>
      <c r="D85" s="105" t="str">
        <f t="shared" si="27"/>
        <v>2F9 Состояние</v>
      </c>
      <c r="E85" s="92" t="s">
        <v>208</v>
      </c>
      <c r="F85" s="279"/>
      <c r="G85" s="281"/>
      <c r="H85" s="283"/>
      <c r="I85" s="106">
        <v>4139</v>
      </c>
      <c r="J85" s="107" t="str">
        <f t="shared" si="26"/>
        <v>SPT021DC/GGIO3.Alm6</v>
      </c>
      <c r="K85" s="103" t="s">
        <v>78</v>
      </c>
      <c r="L85" s="104" t="s">
        <v>246</v>
      </c>
      <c r="M85" s="108" t="s">
        <v>47</v>
      </c>
      <c r="P85" s="98">
        <v>9</v>
      </c>
      <c r="Q85" s="82" t="s">
        <v>210</v>
      </c>
      <c r="S85" s="82">
        <f t="shared" si="22"/>
        <v>44</v>
      </c>
      <c r="T85" s="82" t="str">
        <f t="shared" si="23"/>
        <v>lb_dd44</v>
      </c>
      <c r="U85" s="82">
        <f t="shared" si="24"/>
        <v>2043</v>
      </c>
    </row>
    <row r="86" spans="1:23" hidden="1" outlineLevel="1" x14ac:dyDescent="0.25">
      <c r="A86" s="277"/>
      <c r="B86" s="268"/>
      <c r="C86" s="86" t="s">
        <v>22</v>
      </c>
      <c r="D86" s="105" t="str">
        <f t="shared" si="27"/>
        <v>2F10 Положение</v>
      </c>
      <c r="E86" s="92" t="s">
        <v>207</v>
      </c>
      <c r="F86" s="279"/>
      <c r="G86" s="281"/>
      <c r="H86" s="283"/>
      <c r="I86" s="106">
        <v>4140</v>
      </c>
      <c r="J86" s="107" t="str">
        <f t="shared" si="26"/>
        <v>SPT021DC/GGIO3.Ind6</v>
      </c>
      <c r="K86" s="103" t="s">
        <v>78</v>
      </c>
      <c r="L86" s="104" t="s">
        <v>246</v>
      </c>
      <c r="M86" s="104" t="s">
        <v>46</v>
      </c>
      <c r="P86" s="98">
        <v>10</v>
      </c>
      <c r="Q86" s="82" t="s">
        <v>209</v>
      </c>
      <c r="S86" s="82">
        <f t="shared" si="22"/>
        <v>45</v>
      </c>
      <c r="T86" s="82" t="str">
        <f t="shared" si="23"/>
        <v>lb_dd45</v>
      </c>
      <c r="U86" s="82">
        <f t="shared" si="24"/>
        <v>2044</v>
      </c>
    </row>
    <row r="87" spans="1:23" hidden="1" outlineLevel="1" x14ac:dyDescent="0.25">
      <c r="A87" s="277"/>
      <c r="B87" s="268"/>
      <c r="C87" s="86" t="s">
        <v>23</v>
      </c>
      <c r="D87" s="105" t="str">
        <f t="shared" si="27"/>
        <v>2F10 Состояние</v>
      </c>
      <c r="E87" s="92" t="s">
        <v>208</v>
      </c>
      <c r="F87" s="279"/>
      <c r="G87" s="281"/>
      <c r="H87" s="283"/>
      <c r="I87" s="106">
        <v>4141</v>
      </c>
      <c r="J87" s="107" t="str">
        <f t="shared" si="26"/>
        <v>SPT021DC/GGIO3.Alm7</v>
      </c>
      <c r="K87" s="103" t="s">
        <v>78</v>
      </c>
      <c r="L87" s="104" t="s">
        <v>246</v>
      </c>
      <c r="M87" s="108" t="s">
        <v>49</v>
      </c>
      <c r="P87" s="98">
        <v>10</v>
      </c>
      <c r="Q87" s="82" t="s">
        <v>210</v>
      </c>
      <c r="S87" s="82">
        <f t="shared" si="22"/>
        <v>46</v>
      </c>
      <c r="T87" s="82" t="str">
        <f t="shared" si="23"/>
        <v>lb_dd46</v>
      </c>
      <c r="U87" s="82">
        <f t="shared" si="24"/>
        <v>2045</v>
      </c>
    </row>
    <row r="88" spans="1:23" hidden="1" outlineLevel="1" x14ac:dyDescent="0.25">
      <c r="A88" s="277"/>
      <c r="B88" s="268"/>
      <c r="C88" s="86" t="s">
        <v>24</v>
      </c>
      <c r="D88" s="88" t="s">
        <v>29</v>
      </c>
      <c r="E88" s="88" t="s">
        <v>29</v>
      </c>
      <c r="F88" s="279"/>
      <c r="G88" s="281"/>
      <c r="H88" s="283"/>
      <c r="I88" s="106">
        <v>4142</v>
      </c>
      <c r="J88" s="107" t="str">
        <f t="shared" si="26"/>
        <v/>
      </c>
      <c r="M88" s="104"/>
      <c r="S88" s="82">
        <f t="shared" si="22"/>
        <v>47</v>
      </c>
      <c r="T88" s="82" t="str">
        <f t="shared" si="23"/>
        <v>lb_dd47</v>
      </c>
      <c r="U88" s="82">
        <f t="shared" si="24"/>
        <v>2046</v>
      </c>
    </row>
    <row r="89" spans="1:23" ht="15.75" hidden="1" customHeight="1" outlineLevel="1" x14ac:dyDescent="0.25">
      <c r="A89" s="277"/>
      <c r="B89" s="268"/>
      <c r="C89" s="86" t="s">
        <v>25</v>
      </c>
      <c r="D89" s="105" t="s">
        <v>296</v>
      </c>
      <c r="E89" s="92" t="s">
        <v>208</v>
      </c>
      <c r="F89" s="280"/>
      <c r="G89" s="281"/>
      <c r="H89" s="284"/>
      <c r="I89" s="106">
        <v>4143</v>
      </c>
      <c r="J89" s="107" t="str">
        <f t="shared" si="26"/>
        <v>SPT021DC/GGIO3.Alm8</v>
      </c>
      <c r="K89" s="103" t="s">
        <v>78</v>
      </c>
      <c r="L89" s="104" t="s">
        <v>246</v>
      </c>
      <c r="M89" s="108" t="s">
        <v>56</v>
      </c>
      <c r="S89" s="82">
        <f t="shared" si="22"/>
        <v>48</v>
      </c>
      <c r="T89" s="82" t="str">
        <f t="shared" si="23"/>
        <v>lb_dd48</v>
      </c>
      <c r="U89" s="82">
        <f t="shared" si="24"/>
        <v>2047</v>
      </c>
    </row>
    <row r="90" spans="1:23" collapsed="1" x14ac:dyDescent="0.25">
      <c r="A90" s="290"/>
      <c r="B90" s="290"/>
      <c r="C90" s="290"/>
      <c r="D90" s="290"/>
      <c r="E90" s="290"/>
      <c r="F90" s="290"/>
      <c r="G90" s="290"/>
      <c r="H90" s="290"/>
      <c r="I90" s="290"/>
      <c r="J90" s="290"/>
    </row>
    <row r="91" spans="1:23" x14ac:dyDescent="0.25">
      <c r="A91" s="273" t="s">
        <v>287</v>
      </c>
      <c r="B91" s="273"/>
      <c r="C91" s="273"/>
      <c r="D91" s="273"/>
      <c r="E91" s="273"/>
      <c r="F91" s="273"/>
      <c r="G91" s="273"/>
      <c r="H91" s="273"/>
      <c r="I91" s="273"/>
      <c r="J91" s="273"/>
    </row>
    <row r="92" spans="1:23" hidden="1" outlineLevel="1" x14ac:dyDescent="0.25">
      <c r="A92" s="277">
        <v>22</v>
      </c>
      <c r="B92" s="268" t="s">
        <v>7</v>
      </c>
      <c r="C92" s="86" t="s">
        <v>12</v>
      </c>
      <c r="D92" s="105" t="str">
        <f>CONCATENATE("QF",P92," ",Q92)</f>
        <v>QF1 Положение</v>
      </c>
      <c r="E92" s="92" t="s">
        <v>207</v>
      </c>
      <c r="F92" s="278" t="s">
        <v>28</v>
      </c>
      <c r="G92" s="281" t="s">
        <v>330</v>
      </c>
      <c r="H92" s="282" t="s">
        <v>59</v>
      </c>
      <c r="I92" s="106">
        <v>4144</v>
      </c>
      <c r="J92" s="107" t="str">
        <f>IF(OR(D92="",D92="-"),"",CONCATENATE("SPT021",K92,"/",L92,".",M92))</f>
        <v>SPT021DC/GGIO4.Ind1</v>
      </c>
      <c r="K92" s="103" t="s">
        <v>78</v>
      </c>
      <c r="L92" s="104" t="s">
        <v>247</v>
      </c>
      <c r="M92" s="104" t="s">
        <v>36</v>
      </c>
      <c r="P92" s="98">
        <v>1</v>
      </c>
      <c r="Q92" s="82" t="s">
        <v>209</v>
      </c>
      <c r="S92" s="82">
        <f t="shared" ref="S92:S107" si="28">I92-4095</f>
        <v>49</v>
      </c>
      <c r="T92" s="82" t="str">
        <f t="shared" si="23"/>
        <v>lb_dd49</v>
      </c>
      <c r="U92" s="82">
        <f t="shared" ref="U92:U107" si="29">S92+1999</f>
        <v>2048</v>
      </c>
      <c r="V92" s="82">
        <v>825</v>
      </c>
      <c r="W92" s="82">
        <v>1074</v>
      </c>
    </row>
    <row r="93" spans="1:23" hidden="1" outlineLevel="1" x14ac:dyDescent="0.25">
      <c r="A93" s="277"/>
      <c r="B93" s="268"/>
      <c r="C93" s="86" t="s">
        <v>8</v>
      </c>
      <c r="D93" s="105" t="str">
        <f t="shared" ref="D93:D103" si="30">CONCATENATE("QF",P93," ",Q93)</f>
        <v>QF1 Состояние</v>
      </c>
      <c r="E93" s="92" t="s">
        <v>208</v>
      </c>
      <c r="F93" s="279"/>
      <c r="G93" s="281"/>
      <c r="H93" s="283"/>
      <c r="I93" s="106">
        <v>4145</v>
      </c>
      <c r="J93" s="107" t="str">
        <f t="shared" ref="J93:J107" si="31">IF(OR(D93="",D93="-"),"",CONCATENATE("SPT021",K93,"/",L93,".",M93))</f>
        <v>SPT021DC/GGIO4.Alm1</v>
      </c>
      <c r="K93" s="103" t="s">
        <v>78</v>
      </c>
      <c r="L93" s="104" t="s">
        <v>247</v>
      </c>
      <c r="M93" s="108" t="s">
        <v>37</v>
      </c>
      <c r="P93" s="98">
        <v>1</v>
      </c>
      <c r="Q93" s="82" t="s">
        <v>210</v>
      </c>
      <c r="S93" s="82">
        <f t="shared" si="28"/>
        <v>50</v>
      </c>
      <c r="T93" s="82" t="str">
        <f t="shared" si="23"/>
        <v>lb_dd50</v>
      </c>
      <c r="U93" s="82">
        <f t="shared" si="29"/>
        <v>2049</v>
      </c>
    </row>
    <row r="94" spans="1:23" hidden="1" outlineLevel="1" x14ac:dyDescent="0.25">
      <c r="A94" s="277"/>
      <c r="B94" s="268"/>
      <c r="C94" s="86" t="s">
        <v>9</v>
      </c>
      <c r="D94" s="105" t="str">
        <f t="shared" si="30"/>
        <v>QF2 Положение</v>
      </c>
      <c r="E94" s="92" t="s">
        <v>207</v>
      </c>
      <c r="F94" s="279"/>
      <c r="G94" s="281"/>
      <c r="H94" s="283"/>
      <c r="I94" s="106">
        <v>4146</v>
      </c>
      <c r="J94" s="107" t="str">
        <f t="shared" si="31"/>
        <v>SPT021DC/GGIO4.Ind2</v>
      </c>
      <c r="K94" s="103" t="s">
        <v>78</v>
      </c>
      <c r="L94" s="104" t="s">
        <v>247</v>
      </c>
      <c r="M94" s="104" t="s">
        <v>38</v>
      </c>
      <c r="P94" s="98">
        <v>2</v>
      </c>
      <c r="Q94" s="82" t="s">
        <v>209</v>
      </c>
      <c r="S94" s="82">
        <f t="shared" si="28"/>
        <v>51</v>
      </c>
      <c r="T94" s="82" t="str">
        <f t="shared" si="23"/>
        <v>lb_dd51</v>
      </c>
      <c r="U94" s="82">
        <f t="shared" si="29"/>
        <v>2050</v>
      </c>
    </row>
    <row r="95" spans="1:23" hidden="1" outlineLevel="1" x14ac:dyDescent="0.25">
      <c r="A95" s="277"/>
      <c r="B95" s="268"/>
      <c r="C95" s="86" t="s">
        <v>13</v>
      </c>
      <c r="D95" s="105" t="str">
        <f t="shared" si="30"/>
        <v>QF2 Состояние</v>
      </c>
      <c r="E95" s="92" t="s">
        <v>208</v>
      </c>
      <c r="F95" s="279"/>
      <c r="G95" s="281"/>
      <c r="H95" s="283"/>
      <c r="I95" s="106">
        <v>4147</v>
      </c>
      <c r="J95" s="107" t="str">
        <f t="shared" si="31"/>
        <v>SPT021DC/GGIO4.Alm2</v>
      </c>
      <c r="K95" s="103" t="s">
        <v>78</v>
      </c>
      <c r="L95" s="104" t="s">
        <v>247</v>
      </c>
      <c r="M95" s="108" t="s">
        <v>39</v>
      </c>
      <c r="P95" s="98">
        <v>2</v>
      </c>
      <c r="Q95" s="82" t="s">
        <v>210</v>
      </c>
      <c r="S95" s="82">
        <f t="shared" si="28"/>
        <v>52</v>
      </c>
      <c r="T95" s="82" t="str">
        <f t="shared" si="23"/>
        <v>lb_dd52</v>
      </c>
      <c r="U95" s="82">
        <f t="shared" si="29"/>
        <v>2051</v>
      </c>
    </row>
    <row r="96" spans="1:23" hidden="1" outlineLevel="1" x14ac:dyDescent="0.25">
      <c r="A96" s="277"/>
      <c r="B96" s="268"/>
      <c r="C96" s="86" t="s">
        <v>14</v>
      </c>
      <c r="D96" s="105" t="str">
        <f t="shared" si="30"/>
        <v>QF3 Положение</v>
      </c>
      <c r="E96" s="92" t="s">
        <v>207</v>
      </c>
      <c r="F96" s="279"/>
      <c r="G96" s="281"/>
      <c r="H96" s="283"/>
      <c r="I96" s="106">
        <v>4148</v>
      </c>
      <c r="J96" s="107" t="str">
        <f t="shared" si="31"/>
        <v>SPT021DC/GGIO4.Ind3</v>
      </c>
      <c r="K96" s="103" t="s">
        <v>78</v>
      </c>
      <c r="L96" s="104" t="s">
        <v>247</v>
      </c>
      <c r="M96" s="104" t="s">
        <v>40</v>
      </c>
      <c r="P96" s="98">
        <v>3</v>
      </c>
      <c r="Q96" s="82" t="s">
        <v>209</v>
      </c>
      <c r="S96" s="82">
        <f t="shared" si="28"/>
        <v>53</v>
      </c>
      <c r="T96" s="82" t="str">
        <f t="shared" si="23"/>
        <v>lb_dd53</v>
      </c>
      <c r="U96" s="82">
        <f t="shared" si="29"/>
        <v>2052</v>
      </c>
    </row>
    <row r="97" spans="1:23" hidden="1" outlineLevel="1" x14ac:dyDescent="0.25">
      <c r="A97" s="277"/>
      <c r="B97" s="268"/>
      <c r="C97" s="86" t="s">
        <v>15</v>
      </c>
      <c r="D97" s="105" t="str">
        <f t="shared" si="30"/>
        <v>QF3 Состояние</v>
      </c>
      <c r="E97" s="92" t="s">
        <v>208</v>
      </c>
      <c r="F97" s="279"/>
      <c r="G97" s="281"/>
      <c r="H97" s="283"/>
      <c r="I97" s="106">
        <v>4149</v>
      </c>
      <c r="J97" s="107" t="str">
        <f t="shared" si="31"/>
        <v>SPT021DC/GGIO4.Alm3</v>
      </c>
      <c r="K97" s="103" t="s">
        <v>78</v>
      </c>
      <c r="L97" s="104" t="s">
        <v>247</v>
      </c>
      <c r="M97" s="108" t="s">
        <v>41</v>
      </c>
      <c r="P97" s="98">
        <v>3</v>
      </c>
      <c r="Q97" s="82" t="s">
        <v>210</v>
      </c>
      <c r="S97" s="82">
        <f t="shared" si="28"/>
        <v>54</v>
      </c>
      <c r="T97" s="82" t="str">
        <f t="shared" si="23"/>
        <v>lb_dd54</v>
      </c>
      <c r="U97" s="82">
        <f t="shared" si="29"/>
        <v>2053</v>
      </c>
    </row>
    <row r="98" spans="1:23" hidden="1" outlineLevel="1" x14ac:dyDescent="0.25">
      <c r="A98" s="277"/>
      <c r="B98" s="268"/>
      <c r="C98" s="86" t="s">
        <v>16</v>
      </c>
      <c r="D98" s="105" t="str">
        <f t="shared" si="30"/>
        <v>QF4 Положение</v>
      </c>
      <c r="E98" s="92" t="s">
        <v>207</v>
      </c>
      <c r="F98" s="279"/>
      <c r="G98" s="281"/>
      <c r="H98" s="283"/>
      <c r="I98" s="106">
        <v>4150</v>
      </c>
      <c r="J98" s="107" t="str">
        <f t="shared" si="31"/>
        <v>SPT021DC/GGIO4.Ind4</v>
      </c>
      <c r="K98" s="103" t="s">
        <v>78</v>
      </c>
      <c r="L98" s="104" t="s">
        <v>247</v>
      </c>
      <c r="M98" s="104" t="s">
        <v>42</v>
      </c>
      <c r="P98" s="98">
        <v>4</v>
      </c>
      <c r="Q98" s="82" t="s">
        <v>209</v>
      </c>
      <c r="S98" s="82">
        <f t="shared" si="28"/>
        <v>55</v>
      </c>
      <c r="T98" s="82" t="str">
        <f t="shared" si="23"/>
        <v>lb_dd55</v>
      </c>
      <c r="U98" s="82">
        <f t="shared" si="29"/>
        <v>2054</v>
      </c>
    </row>
    <row r="99" spans="1:23" hidden="1" outlineLevel="1" x14ac:dyDescent="0.25">
      <c r="A99" s="277"/>
      <c r="B99" s="268"/>
      <c r="C99" s="86" t="s">
        <v>17</v>
      </c>
      <c r="D99" s="105" t="str">
        <f t="shared" si="30"/>
        <v>QF4 Состояние</v>
      </c>
      <c r="E99" s="92" t="s">
        <v>208</v>
      </c>
      <c r="F99" s="279"/>
      <c r="G99" s="281"/>
      <c r="H99" s="283"/>
      <c r="I99" s="106">
        <v>4151</v>
      </c>
      <c r="J99" s="107" t="str">
        <f t="shared" si="31"/>
        <v>SPT021DC/GGIO4.Alm4</v>
      </c>
      <c r="K99" s="103" t="s">
        <v>78</v>
      </c>
      <c r="L99" s="104" t="s">
        <v>247</v>
      </c>
      <c r="M99" s="108" t="s">
        <v>43</v>
      </c>
      <c r="P99" s="98">
        <v>4</v>
      </c>
      <c r="Q99" s="82" t="s">
        <v>210</v>
      </c>
      <c r="S99" s="82">
        <f t="shared" si="28"/>
        <v>56</v>
      </c>
      <c r="T99" s="82" t="str">
        <f t="shared" si="23"/>
        <v>lb_dd56</v>
      </c>
      <c r="U99" s="82">
        <f t="shared" si="29"/>
        <v>2055</v>
      </c>
    </row>
    <row r="100" spans="1:23" hidden="1" outlineLevel="1" x14ac:dyDescent="0.25">
      <c r="A100" s="277"/>
      <c r="B100" s="268"/>
      <c r="C100" s="86" t="s">
        <v>18</v>
      </c>
      <c r="D100" s="105" t="str">
        <f t="shared" si="30"/>
        <v>QF5 Положение</v>
      </c>
      <c r="E100" s="92" t="s">
        <v>207</v>
      </c>
      <c r="F100" s="279"/>
      <c r="G100" s="281"/>
      <c r="H100" s="283"/>
      <c r="I100" s="106">
        <v>4152</v>
      </c>
      <c r="J100" s="107" t="str">
        <f t="shared" si="31"/>
        <v>SPT021DC/GGIO4.Ind5</v>
      </c>
      <c r="K100" s="103" t="s">
        <v>78</v>
      </c>
      <c r="L100" s="104" t="s">
        <v>247</v>
      </c>
      <c r="M100" s="104" t="s">
        <v>44</v>
      </c>
      <c r="P100" s="98">
        <v>5</v>
      </c>
      <c r="Q100" s="82" t="s">
        <v>209</v>
      </c>
      <c r="S100" s="82">
        <f t="shared" si="28"/>
        <v>57</v>
      </c>
      <c r="T100" s="82" t="str">
        <f t="shared" si="23"/>
        <v>lb_dd57</v>
      </c>
      <c r="U100" s="82">
        <f t="shared" si="29"/>
        <v>2056</v>
      </c>
    </row>
    <row r="101" spans="1:23" hidden="1" outlineLevel="1" x14ac:dyDescent="0.25">
      <c r="A101" s="277"/>
      <c r="B101" s="268"/>
      <c r="C101" s="86" t="s">
        <v>19</v>
      </c>
      <c r="D101" s="105" t="str">
        <f t="shared" si="30"/>
        <v>QF5 Состояние</v>
      </c>
      <c r="E101" s="92" t="s">
        <v>208</v>
      </c>
      <c r="F101" s="279"/>
      <c r="G101" s="281"/>
      <c r="H101" s="283"/>
      <c r="I101" s="106">
        <v>4153</v>
      </c>
      <c r="J101" s="107" t="str">
        <f t="shared" si="31"/>
        <v>SPT021DC/GGIO4.Alm5</v>
      </c>
      <c r="K101" s="103" t="s">
        <v>78</v>
      </c>
      <c r="L101" s="104" t="s">
        <v>247</v>
      </c>
      <c r="M101" s="108" t="s">
        <v>45</v>
      </c>
      <c r="P101" s="98">
        <v>5</v>
      </c>
      <c r="Q101" s="82" t="s">
        <v>210</v>
      </c>
      <c r="S101" s="82">
        <f t="shared" si="28"/>
        <v>58</v>
      </c>
      <c r="T101" s="82" t="str">
        <f t="shared" si="23"/>
        <v>lb_dd58</v>
      </c>
      <c r="U101" s="82">
        <f t="shared" si="29"/>
        <v>2057</v>
      </c>
    </row>
    <row r="102" spans="1:23" hidden="1" outlineLevel="1" x14ac:dyDescent="0.25">
      <c r="A102" s="277"/>
      <c r="B102" s="268"/>
      <c r="C102" s="86" t="s">
        <v>20</v>
      </c>
      <c r="D102" s="105" t="str">
        <f t="shared" si="30"/>
        <v>QF6 Положение</v>
      </c>
      <c r="E102" s="92" t="s">
        <v>207</v>
      </c>
      <c r="F102" s="279"/>
      <c r="G102" s="281"/>
      <c r="H102" s="283"/>
      <c r="I102" s="106">
        <v>4154</v>
      </c>
      <c r="J102" s="107" t="str">
        <f t="shared" si="31"/>
        <v>SPT021DC/GGIO4.Ind6</v>
      </c>
      <c r="K102" s="103" t="s">
        <v>78</v>
      </c>
      <c r="L102" s="104" t="s">
        <v>247</v>
      </c>
      <c r="M102" s="104" t="s">
        <v>46</v>
      </c>
      <c r="P102" s="98">
        <v>6</v>
      </c>
      <c r="Q102" s="82" t="s">
        <v>209</v>
      </c>
      <c r="S102" s="82">
        <f t="shared" si="28"/>
        <v>59</v>
      </c>
      <c r="T102" s="82" t="str">
        <f t="shared" si="23"/>
        <v>lb_dd59</v>
      </c>
      <c r="U102" s="82">
        <f t="shared" si="29"/>
        <v>2058</v>
      </c>
    </row>
    <row r="103" spans="1:23" hidden="1" outlineLevel="1" x14ac:dyDescent="0.25">
      <c r="A103" s="277"/>
      <c r="B103" s="268"/>
      <c r="C103" s="86" t="s">
        <v>21</v>
      </c>
      <c r="D103" s="105" t="str">
        <f t="shared" si="30"/>
        <v>QF6 Состояние</v>
      </c>
      <c r="E103" s="92" t="s">
        <v>208</v>
      </c>
      <c r="F103" s="279"/>
      <c r="G103" s="281"/>
      <c r="H103" s="283"/>
      <c r="I103" s="106">
        <v>4155</v>
      </c>
      <c r="J103" s="107" t="str">
        <f t="shared" si="31"/>
        <v>SPT021DC/GGIO4.Alm6</v>
      </c>
      <c r="K103" s="103" t="s">
        <v>78</v>
      </c>
      <c r="L103" s="104" t="s">
        <v>247</v>
      </c>
      <c r="M103" s="108" t="s">
        <v>47</v>
      </c>
      <c r="P103" s="98">
        <v>6</v>
      </c>
      <c r="Q103" s="82" t="s">
        <v>210</v>
      </c>
      <c r="S103" s="82">
        <f t="shared" si="28"/>
        <v>60</v>
      </c>
      <c r="T103" s="82" t="str">
        <f t="shared" si="23"/>
        <v>lb_dd60</v>
      </c>
      <c r="U103" s="82">
        <f t="shared" si="29"/>
        <v>2059</v>
      </c>
    </row>
    <row r="104" spans="1:23" hidden="1" outlineLevel="1" x14ac:dyDescent="0.25">
      <c r="A104" s="277"/>
      <c r="B104" s="268"/>
      <c r="C104" s="86" t="s">
        <v>22</v>
      </c>
      <c r="D104" s="105" t="str">
        <f>CONCATENATE("QS",P104," ",Q104)</f>
        <v>QS1 Положение</v>
      </c>
      <c r="E104" s="92" t="s">
        <v>207</v>
      </c>
      <c r="F104" s="279"/>
      <c r="G104" s="281"/>
      <c r="H104" s="283"/>
      <c r="I104" s="106">
        <v>4156</v>
      </c>
      <c r="J104" s="107" t="str">
        <f t="shared" si="31"/>
        <v>SPT021DC/GGIO4.Ind7</v>
      </c>
      <c r="K104" s="103" t="s">
        <v>78</v>
      </c>
      <c r="L104" s="104" t="s">
        <v>247</v>
      </c>
      <c r="M104" s="104" t="s">
        <v>48</v>
      </c>
      <c r="P104" s="98">
        <v>1</v>
      </c>
      <c r="Q104" s="82" t="s">
        <v>209</v>
      </c>
      <c r="S104" s="82">
        <f t="shared" si="28"/>
        <v>61</v>
      </c>
      <c r="T104" s="82" t="str">
        <f t="shared" si="23"/>
        <v>lb_dd61</v>
      </c>
      <c r="U104" s="82">
        <f t="shared" si="29"/>
        <v>2060</v>
      </c>
    </row>
    <row r="105" spans="1:23" hidden="1" outlineLevel="1" x14ac:dyDescent="0.25">
      <c r="A105" s="277"/>
      <c r="B105" s="268"/>
      <c r="C105" s="86" t="s">
        <v>23</v>
      </c>
      <c r="D105" s="88" t="s">
        <v>29</v>
      </c>
      <c r="E105" s="88" t="s">
        <v>29</v>
      </c>
      <c r="F105" s="279"/>
      <c r="G105" s="281"/>
      <c r="H105" s="283"/>
      <c r="I105" s="106">
        <v>4157</v>
      </c>
      <c r="J105" s="107" t="str">
        <f t="shared" si="31"/>
        <v/>
      </c>
      <c r="K105" s="103" t="s">
        <v>78</v>
      </c>
      <c r="M105" s="110"/>
      <c r="S105" s="82">
        <f t="shared" si="28"/>
        <v>62</v>
      </c>
      <c r="T105" s="82" t="str">
        <f t="shared" si="23"/>
        <v>lb_dd62</v>
      </c>
      <c r="U105" s="82">
        <f t="shared" si="29"/>
        <v>2061</v>
      </c>
    </row>
    <row r="106" spans="1:23" hidden="1" outlineLevel="1" x14ac:dyDescent="0.25">
      <c r="A106" s="277"/>
      <c r="B106" s="268"/>
      <c r="C106" s="86" t="s">
        <v>24</v>
      </c>
      <c r="D106" s="105" t="str">
        <f>CONCATENATE("QS",P106," ",Q106)</f>
        <v>QS4 Положение</v>
      </c>
      <c r="E106" s="92" t="s">
        <v>207</v>
      </c>
      <c r="F106" s="279"/>
      <c r="G106" s="281"/>
      <c r="H106" s="283"/>
      <c r="I106" s="106">
        <v>4158</v>
      </c>
      <c r="J106" s="107" t="str">
        <f t="shared" si="31"/>
        <v>SPT021DC/GGIO4.Ind8</v>
      </c>
      <c r="K106" s="103" t="s">
        <v>78</v>
      </c>
      <c r="L106" s="104" t="s">
        <v>247</v>
      </c>
      <c r="M106" s="104" t="s">
        <v>55</v>
      </c>
      <c r="P106" s="98">
        <v>4</v>
      </c>
      <c r="Q106" s="82" t="s">
        <v>209</v>
      </c>
      <c r="S106" s="82">
        <f t="shared" si="28"/>
        <v>63</v>
      </c>
      <c r="T106" s="82" t="str">
        <f t="shared" si="23"/>
        <v>lb_dd63</v>
      </c>
      <c r="U106" s="82">
        <f t="shared" si="29"/>
        <v>2062</v>
      </c>
    </row>
    <row r="107" spans="1:23" hidden="1" outlineLevel="1" x14ac:dyDescent="0.25">
      <c r="A107" s="277"/>
      <c r="B107" s="268"/>
      <c r="C107" s="86" t="s">
        <v>25</v>
      </c>
      <c r="D107" s="88" t="s">
        <v>29</v>
      </c>
      <c r="E107" s="88" t="s">
        <v>29</v>
      </c>
      <c r="F107" s="280"/>
      <c r="G107" s="281"/>
      <c r="H107" s="284"/>
      <c r="I107" s="106">
        <v>4159</v>
      </c>
      <c r="J107" s="107" t="str">
        <f t="shared" si="31"/>
        <v/>
      </c>
      <c r="K107" s="103" t="s">
        <v>78</v>
      </c>
      <c r="M107" s="110"/>
      <c r="S107" s="82">
        <f t="shared" si="28"/>
        <v>64</v>
      </c>
      <c r="T107" s="82" t="str">
        <f t="shared" si="23"/>
        <v>lb_dd64</v>
      </c>
      <c r="U107" s="82">
        <f t="shared" si="29"/>
        <v>2063</v>
      </c>
    </row>
    <row r="108" spans="1:23" collapsed="1" x14ac:dyDescent="0.25">
      <c r="A108" s="265"/>
      <c r="B108" s="266"/>
      <c r="C108" s="266"/>
      <c r="D108" s="266"/>
      <c r="E108" s="266"/>
      <c r="F108" s="266"/>
      <c r="G108" s="266"/>
      <c r="H108" s="266"/>
      <c r="I108" s="266"/>
      <c r="J108" s="267"/>
    </row>
    <row r="109" spans="1:23" x14ac:dyDescent="0.25">
      <c r="A109" s="273" t="s">
        <v>288</v>
      </c>
      <c r="B109" s="273"/>
      <c r="C109" s="273"/>
      <c r="D109" s="273"/>
      <c r="E109" s="273"/>
      <c r="F109" s="273"/>
      <c r="G109" s="273"/>
      <c r="H109" s="273"/>
      <c r="I109" s="273"/>
      <c r="J109" s="273"/>
    </row>
    <row r="110" spans="1:23" hidden="1" outlineLevel="1" x14ac:dyDescent="0.25">
      <c r="A110" s="277">
        <v>23</v>
      </c>
      <c r="B110" s="268" t="s">
        <v>7</v>
      </c>
      <c r="C110" s="86" t="s">
        <v>12</v>
      </c>
      <c r="D110" s="105" t="str">
        <f>CONCATENATE("1QS",P110," ",Q110)</f>
        <v>1QS5 Положение</v>
      </c>
      <c r="E110" s="92" t="s">
        <v>207</v>
      </c>
      <c r="F110" s="278" t="s">
        <v>28</v>
      </c>
      <c r="G110" s="281" t="s">
        <v>330</v>
      </c>
      <c r="H110" s="282" t="s">
        <v>59</v>
      </c>
      <c r="I110" s="106">
        <v>4160</v>
      </c>
      <c r="J110" s="107" t="str">
        <f>IF(OR(D110="",D110="-"),"",CONCATENATE("SPT021",K110,"/",L110,".",M110))</f>
        <v>SPT021DC/GGIO5.Ind1</v>
      </c>
      <c r="K110" s="103" t="s">
        <v>78</v>
      </c>
      <c r="L110" s="104" t="s">
        <v>248</v>
      </c>
      <c r="M110" s="104" t="s">
        <v>36</v>
      </c>
      <c r="P110" s="98">
        <v>5</v>
      </c>
      <c r="Q110" s="82" t="s">
        <v>209</v>
      </c>
      <c r="S110" s="82">
        <f t="shared" ref="S110:S125" si="32">I110-4095</f>
        <v>65</v>
      </c>
      <c r="T110" s="82" t="str">
        <f t="shared" ref="T110:T125" si="33">_xlfn.CONCAT($T$1,S110)</f>
        <v>lb_dd65</v>
      </c>
      <c r="U110" s="82">
        <f t="shared" ref="U110:U125" si="34">S110+1999</f>
        <v>2064</v>
      </c>
      <c r="V110" s="82">
        <v>833</v>
      </c>
      <c r="W110" s="82">
        <v>1082</v>
      </c>
    </row>
    <row r="111" spans="1:23" hidden="1" outlineLevel="1" x14ac:dyDescent="0.25">
      <c r="A111" s="277"/>
      <c r="B111" s="268"/>
      <c r="C111" s="86" t="s">
        <v>8</v>
      </c>
      <c r="D111" s="88" t="s">
        <v>29</v>
      </c>
      <c r="E111" s="88" t="s">
        <v>29</v>
      </c>
      <c r="F111" s="279"/>
      <c r="G111" s="281"/>
      <c r="H111" s="283"/>
      <c r="I111" s="106">
        <v>4161</v>
      </c>
      <c r="J111" s="107" t="str">
        <f t="shared" ref="J111:J125" si="35">IF(OR(D111="",D111="-"),"",CONCATENATE("SPT021",K111,"/",L111,".",M111))</f>
        <v/>
      </c>
      <c r="M111" s="110"/>
      <c r="S111" s="82">
        <f t="shared" si="32"/>
        <v>66</v>
      </c>
      <c r="T111" s="82" t="str">
        <f t="shared" si="33"/>
        <v>lb_dd66</v>
      </c>
      <c r="U111" s="82">
        <f t="shared" si="34"/>
        <v>2065</v>
      </c>
    </row>
    <row r="112" spans="1:23" hidden="1" outlineLevel="1" x14ac:dyDescent="0.25">
      <c r="A112" s="277"/>
      <c r="B112" s="268"/>
      <c r="C112" s="86" t="s">
        <v>9</v>
      </c>
      <c r="D112" s="105" t="str">
        <f t="shared" ref="D112:D122" si="36">CONCATENATE("1QS",P112," ",Q112)</f>
        <v>1QS6 Положение</v>
      </c>
      <c r="E112" s="92" t="s">
        <v>207</v>
      </c>
      <c r="F112" s="279"/>
      <c r="G112" s="281"/>
      <c r="H112" s="283"/>
      <c r="I112" s="106">
        <v>4162</v>
      </c>
      <c r="J112" s="107" t="str">
        <f t="shared" si="35"/>
        <v>SPT021DC/GGIO5.Ind2</v>
      </c>
      <c r="K112" s="103" t="s">
        <v>78</v>
      </c>
      <c r="L112" s="104" t="s">
        <v>248</v>
      </c>
      <c r="M112" s="104" t="s">
        <v>38</v>
      </c>
      <c r="P112" s="98">
        <v>6</v>
      </c>
      <c r="Q112" s="82" t="s">
        <v>209</v>
      </c>
      <c r="S112" s="82">
        <f t="shared" si="32"/>
        <v>67</v>
      </c>
      <c r="T112" s="82" t="str">
        <f t="shared" si="33"/>
        <v>lb_dd67</v>
      </c>
      <c r="U112" s="82">
        <f t="shared" si="34"/>
        <v>2066</v>
      </c>
    </row>
    <row r="113" spans="1:21" hidden="1" outlineLevel="1" x14ac:dyDescent="0.25">
      <c r="A113" s="277"/>
      <c r="B113" s="268"/>
      <c r="C113" s="86" t="s">
        <v>13</v>
      </c>
      <c r="D113" s="88" t="s">
        <v>29</v>
      </c>
      <c r="E113" s="88" t="s">
        <v>29</v>
      </c>
      <c r="F113" s="279"/>
      <c r="G113" s="281"/>
      <c r="H113" s="283"/>
      <c r="I113" s="106">
        <v>4163</v>
      </c>
      <c r="J113" s="107" t="str">
        <f t="shared" si="35"/>
        <v/>
      </c>
      <c r="M113" s="110"/>
      <c r="S113" s="82">
        <f t="shared" si="32"/>
        <v>68</v>
      </c>
      <c r="T113" s="82" t="str">
        <f t="shared" si="33"/>
        <v>lb_dd68</v>
      </c>
      <c r="U113" s="82">
        <f t="shared" si="34"/>
        <v>2067</v>
      </c>
    </row>
    <row r="114" spans="1:21" hidden="1" outlineLevel="1" x14ac:dyDescent="0.25">
      <c r="A114" s="277"/>
      <c r="B114" s="268"/>
      <c r="C114" s="86" t="s">
        <v>14</v>
      </c>
      <c r="D114" s="105" t="str">
        <f t="shared" si="36"/>
        <v>1QS7 Положение</v>
      </c>
      <c r="E114" s="92" t="s">
        <v>207</v>
      </c>
      <c r="F114" s="279"/>
      <c r="G114" s="281"/>
      <c r="H114" s="283"/>
      <c r="I114" s="106">
        <v>4164</v>
      </c>
      <c r="J114" s="107" t="str">
        <f t="shared" si="35"/>
        <v>SPT021DC/GGIO5.Ind3</v>
      </c>
      <c r="K114" s="103" t="s">
        <v>78</v>
      </c>
      <c r="L114" s="104" t="s">
        <v>248</v>
      </c>
      <c r="M114" s="104" t="s">
        <v>40</v>
      </c>
      <c r="P114" s="98">
        <v>7</v>
      </c>
      <c r="Q114" s="82" t="s">
        <v>209</v>
      </c>
      <c r="S114" s="82">
        <f t="shared" si="32"/>
        <v>69</v>
      </c>
      <c r="T114" s="82" t="str">
        <f t="shared" si="33"/>
        <v>lb_dd69</v>
      </c>
      <c r="U114" s="82">
        <f t="shared" si="34"/>
        <v>2068</v>
      </c>
    </row>
    <row r="115" spans="1:21" hidden="1" outlineLevel="1" x14ac:dyDescent="0.25">
      <c r="A115" s="277"/>
      <c r="B115" s="268"/>
      <c r="C115" s="86" t="s">
        <v>15</v>
      </c>
      <c r="D115" s="88" t="s">
        <v>29</v>
      </c>
      <c r="E115" s="88" t="s">
        <v>29</v>
      </c>
      <c r="F115" s="279"/>
      <c r="G115" s="281"/>
      <c r="H115" s="283"/>
      <c r="I115" s="106">
        <v>4165</v>
      </c>
      <c r="J115" s="107" t="str">
        <f t="shared" si="35"/>
        <v/>
      </c>
      <c r="M115" s="110"/>
      <c r="S115" s="82">
        <f t="shared" si="32"/>
        <v>70</v>
      </c>
      <c r="T115" s="82" t="str">
        <f t="shared" si="33"/>
        <v>lb_dd70</v>
      </c>
      <c r="U115" s="82">
        <f t="shared" si="34"/>
        <v>2069</v>
      </c>
    </row>
    <row r="116" spans="1:21" hidden="1" outlineLevel="1" x14ac:dyDescent="0.25">
      <c r="A116" s="277"/>
      <c r="B116" s="268"/>
      <c r="C116" s="86" t="s">
        <v>16</v>
      </c>
      <c r="D116" s="105" t="str">
        <f t="shared" si="36"/>
        <v>1QS8 Положение</v>
      </c>
      <c r="E116" s="92" t="s">
        <v>207</v>
      </c>
      <c r="F116" s="279"/>
      <c r="G116" s="281"/>
      <c r="H116" s="283"/>
      <c r="I116" s="106">
        <v>4166</v>
      </c>
      <c r="J116" s="107" t="str">
        <f t="shared" si="35"/>
        <v>SPT021DC/GGIO5.Ind4</v>
      </c>
      <c r="K116" s="103" t="s">
        <v>78</v>
      </c>
      <c r="L116" s="104" t="s">
        <v>248</v>
      </c>
      <c r="M116" s="104" t="s">
        <v>42</v>
      </c>
      <c r="P116" s="98">
        <v>8</v>
      </c>
      <c r="Q116" s="82" t="s">
        <v>209</v>
      </c>
      <c r="S116" s="82">
        <f t="shared" si="32"/>
        <v>71</v>
      </c>
      <c r="T116" s="82" t="str">
        <f t="shared" si="33"/>
        <v>lb_dd71</v>
      </c>
      <c r="U116" s="82">
        <f t="shared" si="34"/>
        <v>2070</v>
      </c>
    </row>
    <row r="117" spans="1:21" hidden="1" outlineLevel="1" x14ac:dyDescent="0.25">
      <c r="A117" s="277"/>
      <c r="B117" s="268"/>
      <c r="C117" s="86" t="s">
        <v>17</v>
      </c>
      <c r="D117" s="88" t="s">
        <v>29</v>
      </c>
      <c r="E117" s="88" t="s">
        <v>29</v>
      </c>
      <c r="F117" s="279"/>
      <c r="G117" s="281"/>
      <c r="H117" s="283"/>
      <c r="I117" s="106">
        <v>4167</v>
      </c>
      <c r="J117" s="107" t="str">
        <f t="shared" si="35"/>
        <v/>
      </c>
      <c r="M117" s="110"/>
      <c r="S117" s="82">
        <f t="shared" si="32"/>
        <v>72</v>
      </c>
      <c r="T117" s="82" t="str">
        <f t="shared" si="33"/>
        <v>lb_dd72</v>
      </c>
      <c r="U117" s="82">
        <f t="shared" si="34"/>
        <v>2071</v>
      </c>
    </row>
    <row r="118" spans="1:21" hidden="1" outlineLevel="1" x14ac:dyDescent="0.25">
      <c r="A118" s="277"/>
      <c r="B118" s="268"/>
      <c r="C118" s="86" t="s">
        <v>18</v>
      </c>
      <c r="D118" s="105" t="str">
        <f t="shared" si="36"/>
        <v>1QS9 Положение</v>
      </c>
      <c r="E118" s="92" t="s">
        <v>207</v>
      </c>
      <c r="F118" s="279"/>
      <c r="G118" s="281"/>
      <c r="H118" s="283"/>
      <c r="I118" s="106">
        <v>4168</v>
      </c>
      <c r="J118" s="107" t="str">
        <f t="shared" si="35"/>
        <v>SPT021DC/GGIO5.Ind5</v>
      </c>
      <c r="K118" s="103" t="s">
        <v>78</v>
      </c>
      <c r="L118" s="104" t="s">
        <v>248</v>
      </c>
      <c r="M118" s="104" t="s">
        <v>44</v>
      </c>
      <c r="P118" s="98">
        <v>9</v>
      </c>
      <c r="Q118" s="82" t="s">
        <v>209</v>
      </c>
      <c r="S118" s="82">
        <f t="shared" si="32"/>
        <v>73</v>
      </c>
      <c r="T118" s="82" t="str">
        <f t="shared" si="33"/>
        <v>lb_dd73</v>
      </c>
      <c r="U118" s="82">
        <f t="shared" si="34"/>
        <v>2072</v>
      </c>
    </row>
    <row r="119" spans="1:21" hidden="1" outlineLevel="1" x14ac:dyDescent="0.25">
      <c r="A119" s="277"/>
      <c r="B119" s="268"/>
      <c r="C119" s="86" t="s">
        <v>19</v>
      </c>
      <c r="D119" s="88" t="s">
        <v>29</v>
      </c>
      <c r="E119" s="88" t="s">
        <v>29</v>
      </c>
      <c r="F119" s="279"/>
      <c r="G119" s="281"/>
      <c r="H119" s="283"/>
      <c r="I119" s="106">
        <v>4169</v>
      </c>
      <c r="J119" s="107" t="str">
        <f t="shared" si="35"/>
        <v/>
      </c>
      <c r="M119" s="110"/>
      <c r="S119" s="82">
        <f t="shared" si="32"/>
        <v>74</v>
      </c>
      <c r="T119" s="82" t="str">
        <f t="shared" si="33"/>
        <v>lb_dd74</v>
      </c>
      <c r="U119" s="82">
        <f t="shared" si="34"/>
        <v>2073</v>
      </c>
    </row>
    <row r="120" spans="1:21" hidden="1" outlineLevel="1" x14ac:dyDescent="0.25">
      <c r="A120" s="277"/>
      <c r="B120" s="268"/>
      <c r="C120" s="86" t="s">
        <v>20</v>
      </c>
      <c r="D120" s="105" t="str">
        <f t="shared" si="36"/>
        <v>1QS10 Положение</v>
      </c>
      <c r="E120" s="92" t="s">
        <v>207</v>
      </c>
      <c r="F120" s="279"/>
      <c r="G120" s="281"/>
      <c r="H120" s="283"/>
      <c r="I120" s="106">
        <v>4170</v>
      </c>
      <c r="J120" s="107" t="str">
        <f t="shared" si="35"/>
        <v>SPT021DC/GGIO5.Ind6</v>
      </c>
      <c r="K120" s="103" t="s">
        <v>78</v>
      </c>
      <c r="L120" s="104" t="s">
        <v>248</v>
      </c>
      <c r="M120" s="104" t="s">
        <v>46</v>
      </c>
      <c r="P120" s="98">
        <v>10</v>
      </c>
      <c r="Q120" s="82" t="s">
        <v>209</v>
      </c>
      <c r="S120" s="82">
        <f t="shared" si="32"/>
        <v>75</v>
      </c>
      <c r="T120" s="82" t="str">
        <f t="shared" si="33"/>
        <v>lb_dd75</v>
      </c>
      <c r="U120" s="82">
        <f t="shared" si="34"/>
        <v>2074</v>
      </c>
    </row>
    <row r="121" spans="1:21" hidden="1" outlineLevel="1" x14ac:dyDescent="0.25">
      <c r="A121" s="277"/>
      <c r="B121" s="268"/>
      <c r="C121" s="86" t="s">
        <v>21</v>
      </c>
      <c r="D121" s="88" t="s">
        <v>29</v>
      </c>
      <c r="E121" s="88" t="s">
        <v>29</v>
      </c>
      <c r="F121" s="279"/>
      <c r="G121" s="281"/>
      <c r="H121" s="283"/>
      <c r="I121" s="106">
        <v>4171</v>
      </c>
      <c r="J121" s="107" t="str">
        <f t="shared" si="35"/>
        <v/>
      </c>
      <c r="M121" s="110"/>
      <c r="S121" s="82">
        <f t="shared" si="32"/>
        <v>76</v>
      </c>
      <c r="T121" s="82" t="str">
        <f t="shared" si="33"/>
        <v>lb_dd76</v>
      </c>
      <c r="U121" s="82">
        <f t="shared" si="34"/>
        <v>2075</v>
      </c>
    </row>
    <row r="122" spans="1:21" hidden="1" outlineLevel="1" x14ac:dyDescent="0.25">
      <c r="A122" s="277"/>
      <c r="B122" s="268"/>
      <c r="C122" s="86" t="s">
        <v>22</v>
      </c>
      <c r="D122" s="105" t="str">
        <f t="shared" si="36"/>
        <v>1QS11 Положение</v>
      </c>
      <c r="E122" s="92" t="s">
        <v>207</v>
      </c>
      <c r="F122" s="279"/>
      <c r="G122" s="281"/>
      <c r="H122" s="283"/>
      <c r="I122" s="106">
        <v>4172</v>
      </c>
      <c r="J122" s="107" t="str">
        <f t="shared" si="35"/>
        <v>SPT021DC/GGIO5.Ind7</v>
      </c>
      <c r="K122" s="103" t="s">
        <v>78</v>
      </c>
      <c r="L122" s="104" t="s">
        <v>248</v>
      </c>
      <c r="M122" s="104" t="s">
        <v>48</v>
      </c>
      <c r="P122" s="98">
        <v>11</v>
      </c>
      <c r="Q122" s="82" t="s">
        <v>209</v>
      </c>
      <c r="S122" s="82">
        <f t="shared" si="32"/>
        <v>77</v>
      </c>
      <c r="T122" s="82" t="str">
        <f t="shared" si="33"/>
        <v>lb_dd77</v>
      </c>
      <c r="U122" s="82">
        <f t="shared" si="34"/>
        <v>2076</v>
      </c>
    </row>
    <row r="123" spans="1:21" hidden="1" outlineLevel="1" x14ac:dyDescent="0.25">
      <c r="A123" s="277"/>
      <c r="B123" s="268"/>
      <c r="C123" s="86" t="s">
        <v>23</v>
      </c>
      <c r="D123" s="88" t="s">
        <v>29</v>
      </c>
      <c r="E123" s="88" t="s">
        <v>29</v>
      </c>
      <c r="F123" s="279"/>
      <c r="G123" s="281"/>
      <c r="H123" s="283"/>
      <c r="I123" s="106">
        <v>4173</v>
      </c>
      <c r="J123" s="107" t="str">
        <f t="shared" si="35"/>
        <v/>
      </c>
      <c r="M123" s="110"/>
      <c r="S123" s="82">
        <f t="shared" si="32"/>
        <v>78</v>
      </c>
      <c r="T123" s="82" t="str">
        <f t="shared" si="33"/>
        <v>lb_dd78</v>
      </c>
      <c r="U123" s="82">
        <f t="shared" si="34"/>
        <v>2077</v>
      </c>
    </row>
    <row r="124" spans="1:21" hidden="1" outlineLevel="1" x14ac:dyDescent="0.25">
      <c r="A124" s="277"/>
      <c r="B124" s="268"/>
      <c r="C124" s="86" t="s">
        <v>24</v>
      </c>
      <c r="D124" s="88" t="s">
        <v>29</v>
      </c>
      <c r="E124" s="88" t="s">
        <v>29</v>
      </c>
      <c r="F124" s="279"/>
      <c r="G124" s="281"/>
      <c r="H124" s="283"/>
      <c r="I124" s="106">
        <v>4174</v>
      </c>
      <c r="J124" s="107" t="str">
        <f t="shared" si="35"/>
        <v/>
      </c>
      <c r="M124" s="104"/>
      <c r="S124" s="82">
        <f t="shared" si="32"/>
        <v>79</v>
      </c>
      <c r="T124" s="82" t="str">
        <f t="shared" si="33"/>
        <v>lb_dd79</v>
      </c>
      <c r="U124" s="82">
        <f t="shared" si="34"/>
        <v>2078</v>
      </c>
    </row>
    <row r="125" spans="1:21" hidden="1" outlineLevel="1" x14ac:dyDescent="0.25">
      <c r="A125" s="277"/>
      <c r="B125" s="268"/>
      <c r="C125" s="86" t="s">
        <v>25</v>
      </c>
      <c r="D125" s="88" t="s">
        <v>29</v>
      </c>
      <c r="E125" s="88" t="s">
        <v>29</v>
      </c>
      <c r="F125" s="280"/>
      <c r="G125" s="281"/>
      <c r="H125" s="284"/>
      <c r="I125" s="106">
        <v>4175</v>
      </c>
      <c r="J125" s="107" t="str">
        <f t="shared" si="35"/>
        <v/>
      </c>
      <c r="M125" s="110"/>
      <c r="S125" s="82">
        <f t="shared" si="32"/>
        <v>80</v>
      </c>
      <c r="T125" s="82" t="str">
        <f t="shared" si="33"/>
        <v>lb_dd80</v>
      </c>
      <c r="U125" s="82">
        <f t="shared" si="34"/>
        <v>2079</v>
      </c>
    </row>
    <row r="126" spans="1:21" collapsed="1" x14ac:dyDescent="0.25">
      <c r="A126" s="265"/>
      <c r="B126" s="266"/>
      <c r="C126" s="266"/>
      <c r="D126" s="266"/>
      <c r="E126" s="266"/>
      <c r="F126" s="266"/>
      <c r="G126" s="266"/>
      <c r="H126" s="266"/>
      <c r="I126" s="266"/>
      <c r="J126" s="267"/>
    </row>
    <row r="127" spans="1:21" x14ac:dyDescent="0.25">
      <c r="A127" s="291" t="s">
        <v>282</v>
      </c>
      <c r="B127" s="292"/>
      <c r="C127" s="292"/>
      <c r="D127" s="292"/>
      <c r="E127" s="292"/>
      <c r="F127" s="292"/>
      <c r="G127" s="292"/>
      <c r="H127" s="292"/>
      <c r="I127" s="292"/>
      <c r="J127" s="293"/>
      <c r="K127" s="111"/>
      <c r="L127" s="112"/>
      <c r="M127" s="179"/>
    </row>
    <row r="128" spans="1:21" hidden="1" outlineLevel="1" x14ac:dyDescent="0.25">
      <c r="A128" s="264">
        <v>24</v>
      </c>
      <c r="B128" s="271" t="s">
        <v>7</v>
      </c>
      <c r="C128" s="113" t="s">
        <v>12</v>
      </c>
      <c r="D128" s="114" t="s">
        <v>262</v>
      </c>
      <c r="E128" s="107" t="s">
        <v>208</v>
      </c>
      <c r="F128" s="305" t="s">
        <v>28</v>
      </c>
      <c r="G128" s="281" t="s">
        <v>330</v>
      </c>
      <c r="H128" s="285" t="s">
        <v>59</v>
      </c>
      <c r="I128" s="115">
        <v>4176</v>
      </c>
      <c r="J128" s="107" t="str">
        <f>IF(OR(D128="",D128="-"),"",CONCATENATE("SPT021",K128,"/",L128,".",M128))</f>
        <v>SPT021DC/GGIO6.Alm1</v>
      </c>
      <c r="K128" s="111" t="s">
        <v>78</v>
      </c>
      <c r="L128" s="112" t="s">
        <v>249</v>
      </c>
      <c r="M128" s="108" t="s">
        <v>37</v>
      </c>
      <c r="S128" s="82">
        <f t="shared" ref="S128:S143" si="37">I128-4095</f>
        <v>81</v>
      </c>
      <c r="T128" s="82" t="str">
        <f t="shared" ref="T128:T143" si="38">_xlfn.CONCAT($T$1,S128)</f>
        <v>lb_dd81</v>
      </c>
    </row>
    <row r="129" spans="1:20" hidden="1" outlineLevel="1" x14ac:dyDescent="0.25">
      <c r="A129" s="264"/>
      <c r="B129" s="271"/>
      <c r="C129" s="113" t="s">
        <v>8</v>
      </c>
      <c r="D129" s="114" t="s">
        <v>263</v>
      </c>
      <c r="E129" s="107" t="s">
        <v>207</v>
      </c>
      <c r="F129" s="306"/>
      <c r="G129" s="281"/>
      <c r="H129" s="294"/>
      <c r="I129" s="115">
        <v>4177</v>
      </c>
      <c r="J129" s="107" t="str">
        <f t="shared" ref="J129:J143" si="39">IF(OR(D129="",D129="-"),"",CONCATENATE("SPT021",K129,"/",L129,".",M129))</f>
        <v>SPT021DC/GGIO6.Ind1</v>
      </c>
      <c r="K129" s="111" t="s">
        <v>78</v>
      </c>
      <c r="L129" s="112" t="s">
        <v>249</v>
      </c>
      <c r="M129" s="112" t="s">
        <v>36</v>
      </c>
      <c r="S129" s="82">
        <f t="shared" si="37"/>
        <v>82</v>
      </c>
      <c r="T129" s="82" t="str">
        <f t="shared" si="38"/>
        <v>lb_dd82</v>
      </c>
    </row>
    <row r="130" spans="1:20" hidden="1" outlineLevel="1" x14ac:dyDescent="0.25">
      <c r="A130" s="264"/>
      <c r="B130" s="271"/>
      <c r="C130" s="113" t="s">
        <v>9</v>
      </c>
      <c r="D130" s="114" t="s">
        <v>264</v>
      </c>
      <c r="E130" s="107" t="s">
        <v>274</v>
      </c>
      <c r="F130" s="306"/>
      <c r="G130" s="281"/>
      <c r="H130" s="294"/>
      <c r="I130" s="115">
        <v>4178</v>
      </c>
      <c r="J130" s="107" t="str">
        <f t="shared" si="39"/>
        <v>SPT021DC/GGIO6.Alm2</v>
      </c>
      <c r="K130" s="111" t="s">
        <v>78</v>
      </c>
      <c r="L130" s="112" t="s">
        <v>249</v>
      </c>
      <c r="M130" s="108" t="s">
        <v>39</v>
      </c>
      <c r="S130" s="82">
        <f t="shared" si="37"/>
        <v>83</v>
      </c>
      <c r="T130" s="82" t="str">
        <f t="shared" si="38"/>
        <v>lb_dd83</v>
      </c>
    </row>
    <row r="131" spans="1:20" hidden="1" outlineLevel="1" x14ac:dyDescent="0.25">
      <c r="A131" s="264"/>
      <c r="B131" s="271"/>
      <c r="C131" s="113" t="s">
        <v>13</v>
      </c>
      <c r="D131" s="116" t="s">
        <v>29</v>
      </c>
      <c r="E131" s="116" t="s">
        <v>29</v>
      </c>
      <c r="F131" s="306"/>
      <c r="G131" s="281"/>
      <c r="H131" s="294"/>
      <c r="I131" s="115">
        <v>4179</v>
      </c>
      <c r="J131" s="107" t="str">
        <f t="shared" si="39"/>
        <v/>
      </c>
      <c r="K131" s="111"/>
      <c r="L131" s="112"/>
      <c r="M131" s="110"/>
      <c r="S131" s="82">
        <f t="shared" si="37"/>
        <v>84</v>
      </c>
      <c r="T131" s="82" t="str">
        <f t="shared" si="38"/>
        <v>lb_dd84</v>
      </c>
    </row>
    <row r="132" spans="1:20" hidden="1" outlineLevel="1" x14ac:dyDescent="0.25">
      <c r="A132" s="264"/>
      <c r="B132" s="271"/>
      <c r="C132" s="113" t="s">
        <v>14</v>
      </c>
      <c r="D132" s="116" t="s">
        <v>29</v>
      </c>
      <c r="E132" s="116" t="s">
        <v>29</v>
      </c>
      <c r="F132" s="306"/>
      <c r="G132" s="281"/>
      <c r="H132" s="294"/>
      <c r="I132" s="115">
        <v>4180</v>
      </c>
      <c r="J132" s="107" t="str">
        <f t="shared" si="39"/>
        <v/>
      </c>
      <c r="K132" s="111"/>
      <c r="L132" s="112"/>
      <c r="M132" s="110"/>
      <c r="S132" s="82">
        <f t="shared" si="37"/>
        <v>85</v>
      </c>
      <c r="T132" s="82" t="str">
        <f t="shared" si="38"/>
        <v>lb_dd85</v>
      </c>
    </row>
    <row r="133" spans="1:20" hidden="1" outlineLevel="1" x14ac:dyDescent="0.25">
      <c r="A133" s="264"/>
      <c r="B133" s="271"/>
      <c r="C133" s="113" t="s">
        <v>15</v>
      </c>
      <c r="D133" s="116" t="s">
        <v>29</v>
      </c>
      <c r="E133" s="116" t="s">
        <v>29</v>
      </c>
      <c r="F133" s="306"/>
      <c r="G133" s="281"/>
      <c r="H133" s="294"/>
      <c r="I133" s="115">
        <v>4181</v>
      </c>
      <c r="J133" s="107" t="str">
        <f t="shared" si="39"/>
        <v/>
      </c>
      <c r="K133" s="111"/>
      <c r="L133" s="112"/>
      <c r="M133" s="110"/>
      <c r="S133" s="82">
        <f t="shared" si="37"/>
        <v>86</v>
      </c>
      <c r="T133" s="82" t="str">
        <f t="shared" si="38"/>
        <v>lb_dd86</v>
      </c>
    </row>
    <row r="134" spans="1:20" hidden="1" outlineLevel="1" x14ac:dyDescent="0.25">
      <c r="A134" s="264"/>
      <c r="B134" s="271"/>
      <c r="C134" s="113" t="s">
        <v>16</v>
      </c>
      <c r="D134" s="116" t="s">
        <v>29</v>
      </c>
      <c r="E134" s="116" t="s">
        <v>29</v>
      </c>
      <c r="F134" s="306"/>
      <c r="G134" s="281"/>
      <c r="H134" s="294"/>
      <c r="I134" s="115">
        <v>4182</v>
      </c>
      <c r="J134" s="107" t="str">
        <f t="shared" si="39"/>
        <v/>
      </c>
      <c r="K134" s="111"/>
      <c r="L134" s="112"/>
      <c r="M134" s="112"/>
      <c r="S134" s="82">
        <f t="shared" si="37"/>
        <v>87</v>
      </c>
      <c r="T134" s="82" t="str">
        <f t="shared" si="38"/>
        <v>lb_dd87</v>
      </c>
    </row>
    <row r="135" spans="1:20" hidden="1" outlineLevel="1" x14ac:dyDescent="0.25">
      <c r="A135" s="264"/>
      <c r="B135" s="271"/>
      <c r="C135" s="113" t="s">
        <v>17</v>
      </c>
      <c r="D135" s="116" t="s">
        <v>29</v>
      </c>
      <c r="E135" s="116" t="s">
        <v>29</v>
      </c>
      <c r="F135" s="306"/>
      <c r="G135" s="281"/>
      <c r="H135" s="294"/>
      <c r="I135" s="115">
        <v>4183</v>
      </c>
      <c r="J135" s="107" t="str">
        <f t="shared" si="39"/>
        <v/>
      </c>
      <c r="K135" s="111"/>
      <c r="L135" s="112"/>
      <c r="M135" s="110"/>
      <c r="S135" s="82">
        <f t="shared" si="37"/>
        <v>88</v>
      </c>
      <c r="T135" s="82" t="str">
        <f t="shared" si="38"/>
        <v>lb_dd88</v>
      </c>
    </row>
    <row r="136" spans="1:20" hidden="1" outlineLevel="1" x14ac:dyDescent="0.25">
      <c r="A136" s="264"/>
      <c r="B136" s="271"/>
      <c r="C136" s="113" t="s">
        <v>18</v>
      </c>
      <c r="D136" s="116" t="s">
        <v>29</v>
      </c>
      <c r="E136" s="116" t="s">
        <v>29</v>
      </c>
      <c r="F136" s="306"/>
      <c r="G136" s="281"/>
      <c r="H136" s="294"/>
      <c r="I136" s="115">
        <v>4184</v>
      </c>
      <c r="J136" s="107" t="str">
        <f t="shared" si="39"/>
        <v/>
      </c>
      <c r="K136" s="111"/>
      <c r="L136" s="112"/>
      <c r="M136" s="112"/>
      <c r="S136" s="82">
        <f t="shared" si="37"/>
        <v>89</v>
      </c>
      <c r="T136" s="82" t="str">
        <f t="shared" si="38"/>
        <v>lb_dd89</v>
      </c>
    </row>
    <row r="137" spans="1:20" hidden="1" outlineLevel="1" x14ac:dyDescent="0.25">
      <c r="A137" s="264"/>
      <c r="B137" s="271"/>
      <c r="C137" s="113" t="s">
        <v>19</v>
      </c>
      <c r="D137" s="116" t="s">
        <v>29</v>
      </c>
      <c r="E137" s="116" t="s">
        <v>29</v>
      </c>
      <c r="F137" s="306"/>
      <c r="G137" s="281"/>
      <c r="H137" s="294"/>
      <c r="I137" s="115">
        <v>4185</v>
      </c>
      <c r="J137" s="107" t="str">
        <f t="shared" si="39"/>
        <v/>
      </c>
      <c r="K137" s="111"/>
      <c r="L137" s="112"/>
      <c r="M137" s="110"/>
      <c r="S137" s="82">
        <f t="shared" si="37"/>
        <v>90</v>
      </c>
      <c r="T137" s="82" t="str">
        <f t="shared" si="38"/>
        <v>lb_dd90</v>
      </c>
    </row>
    <row r="138" spans="1:20" hidden="1" outlineLevel="1" x14ac:dyDescent="0.25">
      <c r="A138" s="264"/>
      <c r="B138" s="271"/>
      <c r="C138" s="113" t="s">
        <v>20</v>
      </c>
      <c r="D138" s="116" t="s">
        <v>29</v>
      </c>
      <c r="E138" s="116" t="s">
        <v>29</v>
      </c>
      <c r="F138" s="306"/>
      <c r="G138" s="281"/>
      <c r="H138" s="294"/>
      <c r="I138" s="115">
        <v>4186</v>
      </c>
      <c r="J138" s="107" t="str">
        <f t="shared" si="39"/>
        <v/>
      </c>
      <c r="K138" s="111"/>
      <c r="L138" s="112"/>
      <c r="M138" s="112"/>
      <c r="S138" s="82">
        <f t="shared" si="37"/>
        <v>91</v>
      </c>
      <c r="T138" s="82" t="str">
        <f t="shared" si="38"/>
        <v>lb_dd91</v>
      </c>
    </row>
    <row r="139" spans="1:20" hidden="1" outlineLevel="1" x14ac:dyDescent="0.25">
      <c r="A139" s="264"/>
      <c r="B139" s="271"/>
      <c r="C139" s="113" t="s">
        <v>21</v>
      </c>
      <c r="D139" s="116" t="s">
        <v>29</v>
      </c>
      <c r="E139" s="116" t="s">
        <v>29</v>
      </c>
      <c r="F139" s="306"/>
      <c r="G139" s="281"/>
      <c r="H139" s="294"/>
      <c r="I139" s="115">
        <v>4187</v>
      </c>
      <c r="J139" s="107" t="str">
        <f t="shared" si="39"/>
        <v/>
      </c>
      <c r="K139" s="111"/>
      <c r="L139" s="112"/>
      <c r="M139" s="110"/>
      <c r="S139" s="82">
        <f t="shared" si="37"/>
        <v>92</v>
      </c>
      <c r="T139" s="82" t="str">
        <f t="shared" si="38"/>
        <v>lb_dd92</v>
      </c>
    </row>
    <row r="140" spans="1:20" hidden="1" outlineLevel="1" x14ac:dyDescent="0.25">
      <c r="A140" s="264"/>
      <c r="B140" s="271"/>
      <c r="C140" s="113" t="s">
        <v>22</v>
      </c>
      <c r="D140" s="116" t="s">
        <v>29</v>
      </c>
      <c r="E140" s="116" t="s">
        <v>29</v>
      </c>
      <c r="F140" s="306"/>
      <c r="G140" s="281"/>
      <c r="H140" s="294"/>
      <c r="I140" s="115">
        <v>4188</v>
      </c>
      <c r="J140" s="107" t="str">
        <f t="shared" si="39"/>
        <v/>
      </c>
      <c r="K140" s="111"/>
      <c r="L140" s="112"/>
      <c r="M140" s="112"/>
      <c r="S140" s="82">
        <f t="shared" si="37"/>
        <v>93</v>
      </c>
      <c r="T140" s="82" t="str">
        <f t="shared" si="38"/>
        <v>lb_dd93</v>
      </c>
    </row>
    <row r="141" spans="1:20" hidden="1" outlineLevel="1" x14ac:dyDescent="0.25">
      <c r="A141" s="264"/>
      <c r="B141" s="271"/>
      <c r="C141" s="113" t="s">
        <v>23</v>
      </c>
      <c r="D141" s="116" t="s">
        <v>29</v>
      </c>
      <c r="E141" s="116" t="s">
        <v>29</v>
      </c>
      <c r="F141" s="306"/>
      <c r="G141" s="281"/>
      <c r="H141" s="294"/>
      <c r="I141" s="115">
        <v>4189</v>
      </c>
      <c r="J141" s="107" t="str">
        <f t="shared" si="39"/>
        <v/>
      </c>
      <c r="K141" s="111"/>
      <c r="L141" s="112"/>
      <c r="M141" s="110"/>
      <c r="S141" s="82">
        <f t="shared" si="37"/>
        <v>94</v>
      </c>
      <c r="T141" s="82" t="str">
        <f t="shared" si="38"/>
        <v>lb_dd94</v>
      </c>
    </row>
    <row r="142" spans="1:20" hidden="1" outlineLevel="1" x14ac:dyDescent="0.25">
      <c r="A142" s="264"/>
      <c r="B142" s="271"/>
      <c r="C142" s="113" t="s">
        <v>24</v>
      </c>
      <c r="D142" s="116" t="s">
        <v>29</v>
      </c>
      <c r="E142" s="116" t="s">
        <v>29</v>
      </c>
      <c r="F142" s="306"/>
      <c r="G142" s="281"/>
      <c r="H142" s="294"/>
      <c r="I142" s="115">
        <v>4190</v>
      </c>
      <c r="J142" s="107" t="str">
        <f t="shared" si="39"/>
        <v/>
      </c>
      <c r="K142" s="111"/>
      <c r="L142" s="112"/>
      <c r="M142" s="112"/>
      <c r="S142" s="82">
        <f t="shared" si="37"/>
        <v>95</v>
      </c>
      <c r="T142" s="82" t="str">
        <f t="shared" si="38"/>
        <v>lb_dd95</v>
      </c>
    </row>
    <row r="143" spans="1:20" hidden="1" outlineLevel="1" x14ac:dyDescent="0.25">
      <c r="A143" s="264"/>
      <c r="B143" s="271"/>
      <c r="C143" s="113" t="s">
        <v>25</v>
      </c>
      <c r="D143" s="116" t="s">
        <v>29</v>
      </c>
      <c r="E143" s="116" t="s">
        <v>29</v>
      </c>
      <c r="F143" s="307"/>
      <c r="G143" s="281"/>
      <c r="H143" s="286"/>
      <c r="I143" s="115">
        <v>4191</v>
      </c>
      <c r="J143" s="107" t="str">
        <f t="shared" si="39"/>
        <v/>
      </c>
      <c r="K143" s="111"/>
      <c r="L143" s="112"/>
      <c r="M143" s="110"/>
      <c r="S143" s="82">
        <f t="shared" si="37"/>
        <v>96</v>
      </c>
      <c r="T143" s="82" t="str">
        <f t="shared" si="38"/>
        <v>lb_dd96</v>
      </c>
    </row>
    <row r="144" spans="1:20" s="110" customFormat="1" ht="15" customHeight="1" collapsed="1" x14ac:dyDescent="0.25">
      <c r="A144" s="273"/>
      <c r="B144" s="273"/>
      <c r="C144" s="273"/>
      <c r="D144" s="273"/>
      <c r="E144" s="273"/>
      <c r="F144" s="273"/>
      <c r="G144" s="273"/>
      <c r="H144" s="273"/>
      <c r="I144" s="273"/>
      <c r="J144" s="273"/>
      <c r="K144" s="103"/>
      <c r="L144" s="112"/>
      <c r="P144" s="117"/>
    </row>
    <row r="145" spans="1:26" s="110" customFormat="1" x14ac:dyDescent="0.25">
      <c r="A145" s="274" t="s">
        <v>283</v>
      </c>
      <c r="B145" s="275"/>
      <c r="C145" s="275"/>
      <c r="D145" s="275"/>
      <c r="E145" s="275"/>
      <c r="F145" s="275"/>
      <c r="G145" s="275"/>
      <c r="H145" s="275"/>
      <c r="I145" s="275"/>
      <c r="J145" s="276"/>
      <c r="K145" s="118"/>
      <c r="L145" s="104"/>
      <c r="M145" s="82"/>
      <c r="N145" s="119"/>
      <c r="O145" s="120"/>
      <c r="P145" s="121"/>
      <c r="Q145" s="122"/>
      <c r="R145" s="122"/>
      <c r="S145" s="123"/>
      <c r="T145" s="124"/>
      <c r="U145" s="125"/>
      <c r="V145" s="126"/>
      <c r="W145" s="122"/>
      <c r="X145" s="127"/>
    </row>
    <row r="146" spans="1:26" s="110" customFormat="1" outlineLevel="1" x14ac:dyDescent="0.25">
      <c r="A146" s="299">
        <v>25</v>
      </c>
      <c r="B146" s="301" t="s">
        <v>3</v>
      </c>
      <c r="C146" s="95" t="s">
        <v>32</v>
      </c>
      <c r="D146" s="128" t="s">
        <v>297</v>
      </c>
      <c r="E146" s="129" t="s">
        <v>4</v>
      </c>
      <c r="F146" s="314" t="s">
        <v>28</v>
      </c>
      <c r="G146" s="285" t="s">
        <v>330</v>
      </c>
      <c r="H146" s="285" t="s">
        <v>59</v>
      </c>
      <c r="I146" s="115">
        <v>4192</v>
      </c>
      <c r="J146" s="92" t="str">
        <f>IF(OR(D146="",D146="-"),"",CONCATENATE("SPT",K146,"/",N146,L146,".",M146))</f>
        <v>SPT103DC/P1A1_GGIO3.Alm1</v>
      </c>
      <c r="K146" s="182" t="s">
        <v>583</v>
      </c>
      <c r="L146" s="178" t="s">
        <v>246</v>
      </c>
      <c r="M146" s="108" t="s">
        <v>37</v>
      </c>
      <c r="N146" s="179" t="s">
        <v>487</v>
      </c>
      <c r="O146" s="120"/>
      <c r="P146" s="121"/>
      <c r="Q146" s="122"/>
      <c r="R146" s="122"/>
      <c r="S146" s="82">
        <f t="shared" ref="S146:S148" si="40">I146-4095</f>
        <v>97</v>
      </c>
      <c r="T146" s="82" t="str">
        <f t="shared" ref="T146:T148" si="41">_xlfn.CONCAT($T$1,S146)</f>
        <v>lb_dd97</v>
      </c>
      <c r="U146" s="125"/>
      <c r="V146" s="126"/>
      <c r="W146" s="122"/>
      <c r="X146" s="127"/>
    </row>
    <row r="147" spans="1:26" s="110" customFormat="1" outlineLevel="1" x14ac:dyDescent="0.25">
      <c r="A147" s="300"/>
      <c r="B147" s="302"/>
      <c r="C147" s="95" t="s">
        <v>33</v>
      </c>
      <c r="D147" s="128" t="s">
        <v>298</v>
      </c>
      <c r="E147" s="129" t="s">
        <v>4</v>
      </c>
      <c r="F147" s="315"/>
      <c r="G147" s="294"/>
      <c r="H147" s="294"/>
      <c r="I147" s="115">
        <v>4193</v>
      </c>
      <c r="J147" s="92" t="str">
        <f t="shared" ref="J147:J153" si="42">IF(OR(D147="",D147="-"),"",CONCATENATE("SPT",K147,"/",N147,L147,".",M147))</f>
        <v>SPT103DC/P1A1_GGIO3.Alm2</v>
      </c>
      <c r="K147" s="118" t="str">
        <f>K146</f>
        <v>103DC</v>
      </c>
      <c r="L147" s="104" t="str">
        <f>L146</f>
        <v>GGIO3</v>
      </c>
      <c r="M147" s="108" t="s">
        <v>39</v>
      </c>
      <c r="N147" s="119" t="str">
        <f>N146</f>
        <v>P1A1_</v>
      </c>
      <c r="O147" s="120"/>
      <c r="P147" s="121"/>
      <c r="Q147" s="122"/>
      <c r="R147" s="122"/>
      <c r="S147" s="82">
        <f t="shared" si="40"/>
        <v>98</v>
      </c>
      <c r="T147" s="82" t="str">
        <f t="shared" si="41"/>
        <v>lb_dd98</v>
      </c>
      <c r="U147" s="125"/>
      <c r="V147" s="126"/>
      <c r="W147" s="122"/>
      <c r="X147" s="127"/>
    </row>
    <row r="148" spans="1:26" s="110" customFormat="1" outlineLevel="1" x14ac:dyDescent="0.25">
      <c r="A148" s="300"/>
      <c r="B148" s="302"/>
      <c r="C148" s="95" t="s">
        <v>34</v>
      </c>
      <c r="D148" s="128" t="s">
        <v>299</v>
      </c>
      <c r="E148" s="129" t="s">
        <v>4</v>
      </c>
      <c r="F148" s="315"/>
      <c r="G148" s="294"/>
      <c r="H148" s="294"/>
      <c r="I148" s="115">
        <v>4194</v>
      </c>
      <c r="J148" s="92" t="str">
        <f t="shared" si="42"/>
        <v>SPT103DC/P1A1_GGIO3.Alm3</v>
      </c>
      <c r="K148" s="118" t="str">
        <f t="shared" ref="K148:K153" si="43">K147</f>
        <v>103DC</v>
      </c>
      <c r="L148" s="104" t="str">
        <f t="shared" ref="L148:L153" si="44">L147</f>
        <v>GGIO3</v>
      </c>
      <c r="M148" s="108" t="s">
        <v>41</v>
      </c>
      <c r="N148" s="119" t="str">
        <f t="shared" ref="N148:N153" si="45">N147</f>
        <v>P1A1_</v>
      </c>
      <c r="O148" s="120"/>
      <c r="P148" s="121"/>
      <c r="Q148" s="122"/>
      <c r="R148" s="122"/>
      <c r="S148" s="82">
        <f t="shared" si="40"/>
        <v>99</v>
      </c>
      <c r="T148" s="82" t="str">
        <f t="shared" si="41"/>
        <v>lb_dd99</v>
      </c>
      <c r="U148" s="125"/>
      <c r="V148" s="126"/>
      <c r="W148" s="122"/>
      <c r="X148" s="127"/>
    </row>
    <row r="149" spans="1:26" s="110" customFormat="1" outlineLevel="1" x14ac:dyDescent="0.25">
      <c r="A149" s="300"/>
      <c r="B149" s="302"/>
      <c r="C149" s="95" t="s">
        <v>484</v>
      </c>
      <c r="D149" s="82" t="s">
        <v>485</v>
      </c>
      <c r="E149" s="129" t="s">
        <v>4</v>
      </c>
      <c r="F149" s="316"/>
      <c r="G149" s="294"/>
      <c r="H149" s="286"/>
      <c r="I149" s="115">
        <v>4195</v>
      </c>
      <c r="J149" s="92" t="str">
        <f t="shared" si="42"/>
        <v>SPT103DC/P1A1_GGIO3.Alm4</v>
      </c>
      <c r="K149" s="118" t="str">
        <f t="shared" si="43"/>
        <v>103DC</v>
      </c>
      <c r="L149" s="104" t="str">
        <f t="shared" si="44"/>
        <v>GGIO3</v>
      </c>
      <c r="M149" s="108" t="s">
        <v>43</v>
      </c>
      <c r="N149" s="119" t="str">
        <f t="shared" si="45"/>
        <v>P1A1_</v>
      </c>
      <c r="O149" s="120"/>
      <c r="P149" s="121"/>
      <c r="Q149" s="122"/>
      <c r="R149" s="122"/>
      <c r="S149" s="82"/>
      <c r="T149" s="82"/>
      <c r="U149" s="125"/>
      <c r="V149" s="126"/>
      <c r="W149" s="122"/>
      <c r="X149" s="127"/>
    </row>
    <row r="150" spans="1:26" outlineLevel="1" x14ac:dyDescent="0.25">
      <c r="A150" s="300"/>
      <c r="B150" s="302"/>
      <c r="C150" s="183">
        <v>400</v>
      </c>
      <c r="D150" s="128" t="s">
        <v>216</v>
      </c>
      <c r="E150" s="129" t="s">
        <v>35</v>
      </c>
      <c r="F150" s="314" t="s">
        <v>30</v>
      </c>
      <c r="G150" s="294"/>
      <c r="H150" s="285" t="s">
        <v>3</v>
      </c>
      <c r="I150" s="115">
        <v>8704</v>
      </c>
      <c r="J150" s="92" t="str">
        <f t="shared" si="42"/>
        <v>SPT103DC/P1A1_GGIO3.AnIn1</v>
      </c>
      <c r="K150" s="118" t="str">
        <f t="shared" si="43"/>
        <v>103DC</v>
      </c>
      <c r="L150" s="104" t="str">
        <f t="shared" si="44"/>
        <v>GGIO3</v>
      </c>
      <c r="M150" s="110" t="s">
        <v>51</v>
      </c>
      <c r="N150" s="119" t="str">
        <f t="shared" si="45"/>
        <v>P1A1_</v>
      </c>
      <c r="O150" s="120"/>
      <c r="P150" s="121"/>
      <c r="Q150" s="122"/>
      <c r="R150" s="122"/>
      <c r="S150" s="123"/>
      <c r="T150" s="124"/>
      <c r="U150" s="125"/>
      <c r="V150" s="126"/>
      <c r="W150" s="122"/>
      <c r="X150" s="127"/>
      <c r="Y150" s="110"/>
      <c r="Z150" s="110"/>
    </row>
    <row r="151" spans="1:26" outlineLevel="1" x14ac:dyDescent="0.25">
      <c r="A151" s="300"/>
      <c r="B151" s="302"/>
      <c r="C151" s="183">
        <v>402</v>
      </c>
      <c r="D151" s="128" t="s">
        <v>213</v>
      </c>
      <c r="E151" s="129" t="s">
        <v>35</v>
      </c>
      <c r="F151" s="315"/>
      <c r="G151" s="294"/>
      <c r="H151" s="294"/>
      <c r="I151" s="115">
        <v>8706</v>
      </c>
      <c r="J151" s="92" t="str">
        <f t="shared" si="42"/>
        <v>SPT103DC/P1A1_GGIO3.AnIn2</v>
      </c>
      <c r="K151" s="118" t="str">
        <f t="shared" si="43"/>
        <v>103DC</v>
      </c>
      <c r="L151" s="104" t="str">
        <f t="shared" si="44"/>
        <v>GGIO3</v>
      </c>
      <c r="M151" s="110" t="s">
        <v>52</v>
      </c>
      <c r="N151" s="119" t="str">
        <f t="shared" si="45"/>
        <v>P1A1_</v>
      </c>
      <c r="O151" s="120"/>
      <c r="P151" s="121"/>
      <c r="Q151" s="122"/>
      <c r="R151" s="122"/>
      <c r="S151" s="123"/>
      <c r="T151" s="124"/>
      <c r="U151" s="125"/>
      <c r="V151" s="126"/>
      <c r="W151" s="122"/>
      <c r="X151" s="127"/>
      <c r="Y151" s="110"/>
      <c r="Z151" s="110"/>
    </row>
    <row r="152" spans="1:26" outlineLevel="1" x14ac:dyDescent="0.25">
      <c r="A152" s="300"/>
      <c r="B152" s="302"/>
      <c r="C152" s="183">
        <v>404</v>
      </c>
      <c r="D152" s="128" t="s">
        <v>215</v>
      </c>
      <c r="E152" s="129" t="s">
        <v>35</v>
      </c>
      <c r="F152" s="315"/>
      <c r="G152" s="294"/>
      <c r="H152" s="294"/>
      <c r="I152" s="115">
        <v>8708</v>
      </c>
      <c r="J152" s="92" t="str">
        <f t="shared" si="42"/>
        <v>SPT103DC/P1A1_GGIO3.AnIn3</v>
      </c>
      <c r="K152" s="118" t="str">
        <f t="shared" si="43"/>
        <v>103DC</v>
      </c>
      <c r="L152" s="104" t="str">
        <f t="shared" si="44"/>
        <v>GGIO3</v>
      </c>
      <c r="M152" s="110" t="s">
        <v>53</v>
      </c>
      <c r="N152" s="119" t="str">
        <f t="shared" si="45"/>
        <v>P1A1_</v>
      </c>
      <c r="O152" s="120"/>
      <c r="P152" s="121"/>
      <c r="Q152" s="122"/>
      <c r="R152" s="122"/>
      <c r="S152" s="123"/>
      <c r="T152" s="124"/>
      <c r="U152" s="125"/>
      <c r="V152" s="126"/>
      <c r="W152" s="122"/>
      <c r="X152" s="127"/>
      <c r="Y152" s="110"/>
      <c r="Z152" s="110"/>
    </row>
    <row r="153" spans="1:26" outlineLevel="1" x14ac:dyDescent="0.25">
      <c r="A153" s="326"/>
      <c r="B153" s="313"/>
      <c r="C153" s="183">
        <v>406</v>
      </c>
      <c r="D153" s="82" t="s">
        <v>486</v>
      </c>
      <c r="E153" s="129" t="s">
        <v>35</v>
      </c>
      <c r="F153" s="316"/>
      <c r="G153" s="286"/>
      <c r="H153" s="286"/>
      <c r="I153" s="115">
        <v>8709</v>
      </c>
      <c r="J153" s="92" t="str">
        <f t="shared" si="42"/>
        <v>SPT103DC/P1A1_GGIO3.AnIn4</v>
      </c>
      <c r="K153" s="118" t="str">
        <f t="shared" si="43"/>
        <v>103DC</v>
      </c>
      <c r="L153" s="104" t="str">
        <f t="shared" si="44"/>
        <v>GGIO3</v>
      </c>
      <c r="M153" s="110" t="s">
        <v>54</v>
      </c>
      <c r="N153" s="119" t="str">
        <f t="shared" si="45"/>
        <v>P1A1_</v>
      </c>
      <c r="O153" s="120"/>
      <c r="P153" s="121"/>
      <c r="Q153" s="122"/>
      <c r="R153" s="122"/>
      <c r="S153" s="134"/>
      <c r="T153" s="124"/>
      <c r="U153" s="125"/>
      <c r="V153" s="126"/>
      <c r="W153" s="122"/>
      <c r="X153" s="127"/>
      <c r="Y153" s="110"/>
      <c r="Z153" s="110"/>
    </row>
    <row r="154" spans="1:26" s="110" customFormat="1" ht="15" customHeight="1" x14ac:dyDescent="0.25">
      <c r="A154" s="273"/>
      <c r="B154" s="273"/>
      <c r="C154" s="273"/>
      <c r="D154" s="273"/>
      <c r="E154" s="273"/>
      <c r="F154" s="273"/>
      <c r="G154" s="273"/>
      <c r="H154" s="273"/>
      <c r="I154" s="273"/>
      <c r="J154" s="273"/>
      <c r="K154" s="103"/>
      <c r="L154" s="112"/>
      <c r="P154" s="117"/>
    </row>
    <row r="155" spans="1:26" s="110" customFormat="1" x14ac:dyDescent="0.25">
      <c r="A155" s="298" t="s">
        <v>284</v>
      </c>
      <c r="B155" s="298"/>
      <c r="C155" s="298"/>
      <c r="D155" s="298"/>
      <c r="E155" s="298"/>
      <c r="F155" s="298"/>
      <c r="G155" s="298"/>
      <c r="H155" s="298"/>
      <c r="I155" s="298"/>
      <c r="J155" s="298"/>
      <c r="K155" s="118"/>
      <c r="L155" s="104"/>
      <c r="M155" s="82"/>
      <c r="N155" s="119"/>
      <c r="O155" s="120"/>
      <c r="P155" s="121"/>
      <c r="Q155" s="122"/>
      <c r="R155" s="122"/>
      <c r="S155" s="123"/>
      <c r="T155" s="124"/>
      <c r="U155" s="125"/>
      <c r="V155" s="126"/>
      <c r="W155" s="122"/>
      <c r="X155" s="127"/>
    </row>
    <row r="156" spans="1:26" s="110" customFormat="1" hidden="1" outlineLevel="1" x14ac:dyDescent="0.25">
      <c r="A156" s="299">
        <v>26</v>
      </c>
      <c r="B156" s="301" t="s">
        <v>3</v>
      </c>
      <c r="C156" s="95" t="s">
        <v>32</v>
      </c>
      <c r="D156" s="128" t="s">
        <v>300</v>
      </c>
      <c r="E156" s="129" t="s">
        <v>4</v>
      </c>
      <c r="F156" s="314" t="s">
        <v>28</v>
      </c>
      <c r="G156" s="285" t="s">
        <v>330</v>
      </c>
      <c r="H156" s="269" t="s">
        <v>59</v>
      </c>
      <c r="I156" s="115">
        <v>4195</v>
      </c>
      <c r="J156" s="92" t="str">
        <f t="shared" ref="J156:J161" si="46">IF(OR(D156="",D156="-"),"",CONCATENATE("SPT021",K156,"/",L156,".",M156))</f>
        <v>SPT021DC/GGIO8.Alm1</v>
      </c>
      <c r="K156" s="118" t="s">
        <v>78</v>
      </c>
      <c r="L156" s="104" t="s">
        <v>251</v>
      </c>
      <c r="M156" s="108" t="s">
        <v>37</v>
      </c>
      <c r="N156" s="119"/>
      <c r="O156" s="120"/>
      <c r="P156" s="121"/>
      <c r="Q156" s="122"/>
      <c r="R156" s="122"/>
      <c r="S156" s="82">
        <f t="shared" ref="S156:S158" si="47">I156-4095</f>
        <v>100</v>
      </c>
      <c r="T156" s="82" t="str">
        <f t="shared" ref="T156:T158" si="48">_xlfn.CONCAT($T$1,S156)</f>
        <v>lb_dd100</v>
      </c>
      <c r="U156" s="125"/>
      <c r="V156" s="126"/>
      <c r="W156" s="122"/>
      <c r="X156" s="127"/>
    </row>
    <row r="157" spans="1:26" s="110" customFormat="1" hidden="1" outlineLevel="1" x14ac:dyDescent="0.25">
      <c r="A157" s="300"/>
      <c r="B157" s="302"/>
      <c r="C157" s="95" t="s">
        <v>33</v>
      </c>
      <c r="D157" s="128" t="s">
        <v>301</v>
      </c>
      <c r="E157" s="129" t="s">
        <v>4</v>
      </c>
      <c r="F157" s="315"/>
      <c r="G157" s="294"/>
      <c r="H157" s="269"/>
      <c r="I157" s="115">
        <v>4196</v>
      </c>
      <c r="J157" s="92" t="str">
        <f t="shared" si="46"/>
        <v>SPT021DC/GGIO8.Alm2</v>
      </c>
      <c r="K157" s="118" t="s">
        <v>78</v>
      </c>
      <c r="L157" s="104" t="s">
        <v>251</v>
      </c>
      <c r="M157" s="108" t="s">
        <v>39</v>
      </c>
      <c r="N157" s="119"/>
      <c r="O157" s="120"/>
      <c r="P157" s="121"/>
      <c r="Q157" s="122"/>
      <c r="R157" s="122"/>
      <c r="S157" s="82">
        <f t="shared" si="47"/>
        <v>101</v>
      </c>
      <c r="T157" s="82" t="str">
        <f t="shared" si="48"/>
        <v>lb_dd101</v>
      </c>
      <c r="U157" s="125"/>
      <c r="V157" s="126"/>
      <c r="W157" s="122"/>
      <c r="X157" s="127"/>
    </row>
    <row r="158" spans="1:26" s="110" customFormat="1" hidden="1" outlineLevel="1" x14ac:dyDescent="0.25">
      <c r="A158" s="300"/>
      <c r="B158" s="302"/>
      <c r="C158" s="95" t="s">
        <v>34</v>
      </c>
      <c r="D158" s="128" t="s">
        <v>302</v>
      </c>
      <c r="E158" s="129" t="s">
        <v>4</v>
      </c>
      <c r="F158" s="315"/>
      <c r="G158" s="294"/>
      <c r="H158" s="269"/>
      <c r="I158" s="115">
        <v>4197</v>
      </c>
      <c r="J158" s="92" t="str">
        <f t="shared" si="46"/>
        <v>SPT021DC/GGIO8.Alm3</v>
      </c>
      <c r="K158" s="118" t="s">
        <v>78</v>
      </c>
      <c r="L158" s="104" t="s">
        <v>251</v>
      </c>
      <c r="M158" s="108" t="s">
        <v>41</v>
      </c>
      <c r="N158" s="119"/>
      <c r="O158" s="120"/>
      <c r="P158" s="121"/>
      <c r="Q158" s="122"/>
      <c r="R158" s="122"/>
      <c r="S158" s="82">
        <f t="shared" si="47"/>
        <v>102</v>
      </c>
      <c r="T158" s="82" t="str">
        <f t="shared" si="48"/>
        <v>lb_dd102</v>
      </c>
      <c r="U158" s="125"/>
      <c r="V158" s="126"/>
      <c r="W158" s="122"/>
      <c r="X158" s="127"/>
    </row>
    <row r="159" spans="1:26" hidden="1" outlineLevel="1" x14ac:dyDescent="0.25">
      <c r="A159" s="300"/>
      <c r="B159" s="302"/>
      <c r="C159" s="95" t="s">
        <v>211</v>
      </c>
      <c r="D159" s="128" t="s">
        <v>216</v>
      </c>
      <c r="E159" s="129" t="s">
        <v>35</v>
      </c>
      <c r="F159" s="314" t="s">
        <v>30</v>
      </c>
      <c r="G159" s="294"/>
      <c r="H159" s="269" t="s">
        <v>3</v>
      </c>
      <c r="I159" s="115">
        <v>8716</v>
      </c>
      <c r="J159" s="92" t="str">
        <f t="shared" si="46"/>
        <v>SPT021DC/GGIO8.AnIn1</v>
      </c>
      <c r="K159" s="118" t="s">
        <v>78</v>
      </c>
      <c r="L159" s="104" t="s">
        <v>251</v>
      </c>
      <c r="M159" s="110" t="s">
        <v>51</v>
      </c>
      <c r="N159" s="119"/>
      <c r="O159" s="120"/>
      <c r="P159" s="121"/>
      <c r="Q159" s="122"/>
      <c r="R159" s="122"/>
      <c r="S159" s="123"/>
      <c r="T159" s="124"/>
      <c r="U159" s="125"/>
      <c r="V159" s="126"/>
      <c r="W159" s="122"/>
      <c r="X159" s="127"/>
      <c r="Y159" s="110"/>
      <c r="Z159" s="110"/>
    </row>
    <row r="160" spans="1:26" hidden="1" outlineLevel="1" x14ac:dyDescent="0.25">
      <c r="A160" s="300"/>
      <c r="B160" s="302"/>
      <c r="C160" s="95" t="s">
        <v>212</v>
      </c>
      <c r="D160" s="128" t="s">
        <v>213</v>
      </c>
      <c r="E160" s="129" t="s">
        <v>35</v>
      </c>
      <c r="F160" s="315"/>
      <c r="G160" s="294"/>
      <c r="H160" s="269"/>
      <c r="I160" s="115">
        <v>8718</v>
      </c>
      <c r="J160" s="92" t="str">
        <f t="shared" si="46"/>
        <v>SPT021DC/GGIO8.AnIn2</v>
      </c>
      <c r="K160" s="118" t="s">
        <v>78</v>
      </c>
      <c r="L160" s="104" t="s">
        <v>251</v>
      </c>
      <c r="M160" s="110" t="s">
        <v>52</v>
      </c>
      <c r="N160" s="119"/>
      <c r="O160" s="120"/>
      <c r="P160" s="121"/>
      <c r="Q160" s="122"/>
      <c r="R160" s="122"/>
      <c r="S160" s="123"/>
      <c r="T160" s="124"/>
      <c r="U160" s="125"/>
      <c r="V160" s="126"/>
      <c r="W160" s="122"/>
      <c r="X160" s="127"/>
      <c r="Y160" s="110"/>
      <c r="Z160" s="110"/>
    </row>
    <row r="161" spans="1:26" hidden="1" outlineLevel="1" x14ac:dyDescent="0.25">
      <c r="A161" s="300"/>
      <c r="B161" s="302"/>
      <c r="C161" s="95" t="s">
        <v>214</v>
      </c>
      <c r="D161" s="128" t="s">
        <v>215</v>
      </c>
      <c r="E161" s="129" t="s">
        <v>35</v>
      </c>
      <c r="F161" s="315"/>
      <c r="G161" s="286"/>
      <c r="H161" s="269"/>
      <c r="I161" s="115">
        <v>8720</v>
      </c>
      <c r="J161" s="92" t="str">
        <f t="shared" si="46"/>
        <v>SPT021DC/GGIO8.AnIn3</v>
      </c>
      <c r="K161" s="118" t="s">
        <v>78</v>
      </c>
      <c r="L161" s="104" t="s">
        <v>251</v>
      </c>
      <c r="M161" s="110" t="s">
        <v>53</v>
      </c>
      <c r="N161" s="119"/>
      <c r="O161" s="120"/>
      <c r="P161" s="121"/>
      <c r="Q161" s="122"/>
      <c r="R161" s="122"/>
      <c r="S161" s="123"/>
      <c r="T161" s="124"/>
      <c r="U161" s="125"/>
      <c r="V161" s="126"/>
      <c r="W161" s="122"/>
      <c r="X161" s="127"/>
      <c r="Y161" s="110"/>
      <c r="Z161" s="110"/>
    </row>
    <row r="162" spans="1:26" collapsed="1" x14ac:dyDescent="0.25">
      <c r="A162" s="295"/>
      <c r="B162" s="296"/>
      <c r="C162" s="296"/>
      <c r="D162" s="296"/>
      <c r="E162" s="296"/>
      <c r="F162" s="296"/>
      <c r="G162" s="296"/>
      <c r="H162" s="296"/>
      <c r="I162" s="296"/>
      <c r="J162" s="297"/>
      <c r="K162" s="118"/>
      <c r="N162" s="119"/>
      <c r="O162" s="120"/>
      <c r="P162" s="121"/>
      <c r="Q162" s="122"/>
      <c r="R162" s="122"/>
      <c r="S162" s="123"/>
      <c r="T162" s="124"/>
      <c r="U162" s="125"/>
      <c r="V162" s="126"/>
      <c r="W162" s="122"/>
      <c r="X162" s="127"/>
      <c r="Y162" s="110"/>
      <c r="Z162" s="110"/>
    </row>
    <row r="163" spans="1:26" s="110" customFormat="1" x14ac:dyDescent="0.25">
      <c r="A163" s="298" t="s">
        <v>285</v>
      </c>
      <c r="B163" s="298"/>
      <c r="C163" s="298"/>
      <c r="D163" s="298"/>
      <c r="E163" s="298"/>
      <c r="F163" s="298"/>
      <c r="G163" s="298"/>
      <c r="H163" s="298"/>
      <c r="I163" s="298"/>
      <c r="J163" s="298"/>
      <c r="K163" s="118"/>
      <c r="L163" s="104"/>
      <c r="M163" s="82"/>
      <c r="N163" s="119"/>
      <c r="O163" s="120"/>
      <c r="P163" s="121"/>
      <c r="Q163" s="122"/>
      <c r="R163" s="122"/>
      <c r="S163" s="123"/>
      <c r="T163" s="124"/>
      <c r="U163" s="125"/>
      <c r="V163" s="126"/>
      <c r="W163" s="122"/>
      <c r="X163" s="127"/>
    </row>
    <row r="164" spans="1:26" s="110" customFormat="1" hidden="1" outlineLevel="1" x14ac:dyDescent="0.25">
      <c r="A164" s="299">
        <v>27</v>
      </c>
      <c r="B164" s="301" t="s">
        <v>3</v>
      </c>
      <c r="C164" s="95" t="s">
        <v>32</v>
      </c>
      <c r="D164" s="128" t="s">
        <v>303</v>
      </c>
      <c r="E164" s="129" t="s">
        <v>4</v>
      </c>
      <c r="F164" s="314" t="s">
        <v>28</v>
      </c>
      <c r="G164" s="285" t="s">
        <v>330</v>
      </c>
      <c r="H164" s="269" t="s">
        <v>59</v>
      </c>
      <c r="I164" s="115">
        <v>4198</v>
      </c>
      <c r="J164" s="92" t="str">
        <f t="shared" ref="J164:J169" si="49">IF(OR(D164="",D164="-"),"",CONCATENATE("SPT021",K164,"/",L164,".",M164))</f>
        <v>SPT021DC/GGIO9.Alm1</v>
      </c>
      <c r="K164" s="118" t="s">
        <v>78</v>
      </c>
      <c r="L164" s="104" t="s">
        <v>252</v>
      </c>
      <c r="M164" s="108" t="s">
        <v>37</v>
      </c>
      <c r="N164" s="119"/>
      <c r="O164" s="120"/>
      <c r="P164" s="121"/>
      <c r="Q164" s="122"/>
      <c r="R164" s="122"/>
      <c r="S164" s="82">
        <f t="shared" ref="S164:S166" si="50">I164-4095</f>
        <v>103</v>
      </c>
      <c r="T164" s="82" t="str">
        <f t="shared" ref="T164:T166" si="51">_xlfn.CONCAT($T$1,S164)</f>
        <v>lb_dd103</v>
      </c>
      <c r="U164" s="125"/>
      <c r="V164" s="126"/>
      <c r="W164" s="122"/>
      <c r="X164" s="127"/>
    </row>
    <row r="165" spans="1:26" s="110" customFormat="1" hidden="1" outlineLevel="1" x14ac:dyDescent="0.25">
      <c r="A165" s="300"/>
      <c r="B165" s="302"/>
      <c r="C165" s="95" t="s">
        <v>33</v>
      </c>
      <c r="D165" s="128" t="s">
        <v>304</v>
      </c>
      <c r="E165" s="129" t="s">
        <v>4</v>
      </c>
      <c r="F165" s="315"/>
      <c r="G165" s="294"/>
      <c r="H165" s="269"/>
      <c r="I165" s="115">
        <v>4199</v>
      </c>
      <c r="J165" s="92" t="str">
        <f t="shared" si="49"/>
        <v>SPT021DC/GGIO9.Alm2</v>
      </c>
      <c r="K165" s="118" t="s">
        <v>78</v>
      </c>
      <c r="L165" s="104" t="s">
        <v>252</v>
      </c>
      <c r="M165" s="108" t="s">
        <v>39</v>
      </c>
      <c r="N165" s="119"/>
      <c r="O165" s="120"/>
      <c r="P165" s="121"/>
      <c r="Q165" s="122"/>
      <c r="R165" s="122"/>
      <c r="S165" s="82">
        <f t="shared" si="50"/>
        <v>104</v>
      </c>
      <c r="T165" s="82" t="str">
        <f t="shared" si="51"/>
        <v>lb_dd104</v>
      </c>
      <c r="U165" s="125"/>
      <c r="V165" s="126"/>
      <c r="W165" s="122"/>
      <c r="X165" s="127"/>
    </row>
    <row r="166" spans="1:26" s="110" customFormat="1" hidden="1" outlineLevel="1" x14ac:dyDescent="0.25">
      <c r="A166" s="300"/>
      <c r="B166" s="302"/>
      <c r="C166" s="95" t="s">
        <v>34</v>
      </c>
      <c r="D166" s="128" t="s">
        <v>305</v>
      </c>
      <c r="E166" s="129" t="s">
        <v>4</v>
      </c>
      <c r="F166" s="315"/>
      <c r="G166" s="294"/>
      <c r="H166" s="269"/>
      <c r="I166" s="115">
        <v>4200</v>
      </c>
      <c r="J166" s="92" t="str">
        <f t="shared" si="49"/>
        <v>SPT021DC/GGIO9.Alm3</v>
      </c>
      <c r="K166" s="118" t="s">
        <v>78</v>
      </c>
      <c r="L166" s="104" t="s">
        <v>252</v>
      </c>
      <c r="M166" s="108" t="s">
        <v>41</v>
      </c>
      <c r="N166" s="119"/>
      <c r="O166" s="120"/>
      <c r="P166" s="121"/>
      <c r="Q166" s="122"/>
      <c r="R166" s="122"/>
      <c r="S166" s="82">
        <f t="shared" si="50"/>
        <v>105</v>
      </c>
      <c r="T166" s="82" t="str">
        <f t="shared" si="51"/>
        <v>lb_dd105</v>
      </c>
      <c r="U166" s="125"/>
      <c r="V166" s="126"/>
      <c r="W166" s="122"/>
      <c r="X166" s="127"/>
    </row>
    <row r="167" spans="1:26" hidden="1" outlineLevel="1" x14ac:dyDescent="0.25">
      <c r="A167" s="300"/>
      <c r="B167" s="302"/>
      <c r="C167" s="95" t="s">
        <v>211</v>
      </c>
      <c r="D167" s="128" t="s">
        <v>216</v>
      </c>
      <c r="E167" s="129" t="s">
        <v>35</v>
      </c>
      <c r="F167" s="314" t="s">
        <v>30</v>
      </c>
      <c r="G167" s="294"/>
      <c r="H167" s="269" t="s">
        <v>3</v>
      </c>
      <c r="I167" s="115">
        <v>8728</v>
      </c>
      <c r="J167" s="92" t="str">
        <f t="shared" si="49"/>
        <v>SPT021DC/GGIO9.AnIn1</v>
      </c>
      <c r="K167" s="118" t="s">
        <v>78</v>
      </c>
      <c r="L167" s="104" t="s">
        <v>252</v>
      </c>
      <c r="M167" s="110" t="s">
        <v>51</v>
      </c>
      <c r="N167" s="119"/>
      <c r="O167" s="120"/>
      <c r="P167" s="121"/>
      <c r="Q167" s="122"/>
      <c r="R167" s="122"/>
      <c r="S167" s="123"/>
      <c r="T167" s="124"/>
      <c r="U167" s="125"/>
      <c r="V167" s="126"/>
      <c r="W167" s="122"/>
      <c r="X167" s="127"/>
      <c r="Y167" s="110"/>
      <c r="Z167" s="110"/>
    </row>
    <row r="168" spans="1:26" hidden="1" outlineLevel="1" x14ac:dyDescent="0.25">
      <c r="A168" s="300"/>
      <c r="B168" s="302"/>
      <c r="C168" s="95" t="s">
        <v>212</v>
      </c>
      <c r="D168" s="128" t="s">
        <v>213</v>
      </c>
      <c r="E168" s="129" t="s">
        <v>35</v>
      </c>
      <c r="F168" s="315"/>
      <c r="G168" s="294"/>
      <c r="H168" s="269"/>
      <c r="I168" s="115">
        <v>8730</v>
      </c>
      <c r="J168" s="92" t="str">
        <f t="shared" si="49"/>
        <v>SPT021DC/GGIO9.AnIn2</v>
      </c>
      <c r="K168" s="118" t="s">
        <v>78</v>
      </c>
      <c r="L168" s="104" t="s">
        <v>252</v>
      </c>
      <c r="M168" s="110" t="s">
        <v>52</v>
      </c>
      <c r="N168" s="119"/>
      <c r="O168" s="120"/>
      <c r="P168" s="121"/>
      <c r="Q168" s="122"/>
      <c r="R168" s="122"/>
      <c r="S168" s="123"/>
      <c r="T168" s="124"/>
      <c r="U168" s="125"/>
      <c r="V168" s="126"/>
      <c r="W168" s="122"/>
      <c r="X168" s="127"/>
      <c r="Y168" s="110"/>
      <c r="Z168" s="110"/>
    </row>
    <row r="169" spans="1:26" hidden="1" outlineLevel="1" x14ac:dyDescent="0.25">
      <c r="A169" s="300"/>
      <c r="B169" s="302"/>
      <c r="C169" s="95" t="s">
        <v>214</v>
      </c>
      <c r="D169" s="128" t="s">
        <v>215</v>
      </c>
      <c r="E169" s="129" t="s">
        <v>35</v>
      </c>
      <c r="F169" s="315"/>
      <c r="G169" s="286"/>
      <c r="H169" s="269"/>
      <c r="I169" s="115">
        <v>8732</v>
      </c>
      <c r="J169" s="92" t="str">
        <f t="shared" si="49"/>
        <v>SPT021DC/GGIO9.AnIn3</v>
      </c>
      <c r="K169" s="118" t="s">
        <v>78</v>
      </c>
      <c r="L169" s="104" t="s">
        <v>252</v>
      </c>
      <c r="M169" s="110" t="s">
        <v>53</v>
      </c>
      <c r="N169" s="119"/>
      <c r="O169" s="120"/>
      <c r="P169" s="121"/>
      <c r="Q169" s="122"/>
      <c r="R169" s="122"/>
      <c r="S169" s="123"/>
      <c r="T169" s="124"/>
      <c r="U169" s="125"/>
      <c r="V169" s="126"/>
      <c r="W169" s="122"/>
      <c r="X169" s="127"/>
      <c r="Y169" s="110"/>
      <c r="Z169" s="110"/>
    </row>
    <row r="170" spans="1:26" collapsed="1" x14ac:dyDescent="0.25">
      <c r="A170" s="295"/>
      <c r="B170" s="296"/>
      <c r="C170" s="296"/>
      <c r="D170" s="296"/>
      <c r="E170" s="296"/>
      <c r="F170" s="296"/>
      <c r="G170" s="296"/>
      <c r="H170" s="296"/>
      <c r="I170" s="296"/>
      <c r="J170" s="297"/>
      <c r="K170" s="118"/>
      <c r="N170" s="119"/>
      <c r="O170" s="120"/>
      <c r="P170" s="121"/>
      <c r="Q170" s="122"/>
      <c r="R170" s="122"/>
      <c r="S170" s="123"/>
      <c r="T170" s="124"/>
      <c r="U170" s="125"/>
      <c r="V170" s="126"/>
      <c r="W170" s="122"/>
      <c r="X170" s="127"/>
      <c r="Y170" s="110"/>
      <c r="Z170" s="110"/>
    </row>
    <row r="171" spans="1:26" s="110" customFormat="1" x14ac:dyDescent="0.25">
      <c r="A171" s="298" t="s">
        <v>286</v>
      </c>
      <c r="B171" s="298"/>
      <c r="C171" s="298"/>
      <c r="D171" s="298"/>
      <c r="E171" s="298"/>
      <c r="F171" s="298"/>
      <c r="G171" s="298"/>
      <c r="H171" s="298"/>
      <c r="I171" s="298"/>
      <c r="J171" s="298"/>
      <c r="K171" s="118"/>
      <c r="L171" s="104"/>
      <c r="M171" s="82"/>
      <c r="N171" s="119"/>
      <c r="O171" s="120"/>
      <c r="P171" s="121"/>
      <c r="Q171" s="122"/>
      <c r="R171" s="122"/>
      <c r="S171" s="123"/>
      <c r="T171" s="124"/>
      <c r="U171" s="125"/>
      <c r="V171" s="126"/>
      <c r="W171" s="122"/>
      <c r="X171" s="127"/>
    </row>
    <row r="172" spans="1:26" s="110" customFormat="1" hidden="1" outlineLevel="1" x14ac:dyDescent="0.25">
      <c r="A172" s="299">
        <v>28</v>
      </c>
      <c r="B172" s="301" t="s">
        <v>3</v>
      </c>
      <c r="C172" s="95" t="s">
        <v>32</v>
      </c>
      <c r="D172" s="128" t="s">
        <v>306</v>
      </c>
      <c r="E172" s="129" t="s">
        <v>4</v>
      </c>
      <c r="F172" s="314" t="s">
        <v>28</v>
      </c>
      <c r="G172" s="285" t="s">
        <v>330</v>
      </c>
      <c r="H172" s="269" t="s">
        <v>59</v>
      </c>
      <c r="I172" s="115">
        <v>4201</v>
      </c>
      <c r="J172" s="92" t="str">
        <f t="shared" ref="J172:J177" si="52">IF(OR(D172="",D172="-"),"",CONCATENATE("SPT021",K172,"/",L172,".",M172))</f>
        <v>SPT021DC/GGIO10.Alm1</v>
      </c>
      <c r="K172" s="118" t="s">
        <v>78</v>
      </c>
      <c r="L172" s="104" t="s">
        <v>253</v>
      </c>
      <c r="M172" s="108" t="s">
        <v>37</v>
      </c>
      <c r="N172" s="119"/>
      <c r="O172" s="120"/>
      <c r="P172" s="121"/>
      <c r="Q172" s="122"/>
      <c r="R172" s="122"/>
      <c r="S172" s="82">
        <f t="shared" ref="S172:S174" si="53">I172-4095</f>
        <v>106</v>
      </c>
      <c r="T172" s="82" t="str">
        <f t="shared" ref="T172:T174" si="54">_xlfn.CONCAT($T$1,S172)</f>
        <v>lb_dd106</v>
      </c>
      <c r="U172" s="125"/>
      <c r="V172" s="126"/>
      <c r="W172" s="122"/>
      <c r="X172" s="127"/>
    </row>
    <row r="173" spans="1:26" s="110" customFormat="1" hidden="1" outlineLevel="1" x14ac:dyDescent="0.25">
      <c r="A173" s="300"/>
      <c r="B173" s="302"/>
      <c r="C173" s="95" t="s">
        <v>33</v>
      </c>
      <c r="D173" s="128" t="s">
        <v>307</v>
      </c>
      <c r="E173" s="129" t="s">
        <v>4</v>
      </c>
      <c r="F173" s="315"/>
      <c r="G173" s="294"/>
      <c r="H173" s="269"/>
      <c r="I173" s="115">
        <v>4202</v>
      </c>
      <c r="J173" s="92" t="str">
        <f t="shared" si="52"/>
        <v>SPT021DC/GGIO10.Alm2</v>
      </c>
      <c r="K173" s="118" t="s">
        <v>78</v>
      </c>
      <c r="L173" s="104" t="s">
        <v>253</v>
      </c>
      <c r="M173" s="108" t="s">
        <v>39</v>
      </c>
      <c r="N173" s="119"/>
      <c r="O173" s="120"/>
      <c r="P173" s="121"/>
      <c r="Q173" s="122"/>
      <c r="R173" s="122"/>
      <c r="S173" s="82">
        <f t="shared" si="53"/>
        <v>107</v>
      </c>
      <c r="T173" s="82" t="str">
        <f t="shared" si="54"/>
        <v>lb_dd107</v>
      </c>
      <c r="U173" s="125"/>
      <c r="V173" s="126"/>
      <c r="W173" s="122"/>
      <c r="X173" s="127"/>
    </row>
    <row r="174" spans="1:26" s="110" customFormat="1" hidden="1" outlineLevel="1" x14ac:dyDescent="0.25">
      <c r="A174" s="300"/>
      <c r="B174" s="302"/>
      <c r="C174" s="95" t="s">
        <v>34</v>
      </c>
      <c r="D174" s="128" t="s">
        <v>308</v>
      </c>
      <c r="E174" s="129" t="s">
        <v>4</v>
      </c>
      <c r="F174" s="315"/>
      <c r="G174" s="294"/>
      <c r="H174" s="269"/>
      <c r="I174" s="115">
        <v>4203</v>
      </c>
      <c r="J174" s="92" t="str">
        <f t="shared" si="52"/>
        <v>SPT021DC/GGIO10.Alm3</v>
      </c>
      <c r="K174" s="118" t="s">
        <v>78</v>
      </c>
      <c r="L174" s="104" t="s">
        <v>253</v>
      </c>
      <c r="M174" s="108" t="s">
        <v>41</v>
      </c>
      <c r="N174" s="119"/>
      <c r="O174" s="120"/>
      <c r="P174" s="121"/>
      <c r="Q174" s="122"/>
      <c r="R174" s="122"/>
      <c r="S174" s="82">
        <f t="shared" si="53"/>
        <v>108</v>
      </c>
      <c r="T174" s="82" t="str">
        <f t="shared" si="54"/>
        <v>lb_dd108</v>
      </c>
      <c r="U174" s="125"/>
      <c r="V174" s="126"/>
      <c r="W174" s="122"/>
      <c r="X174" s="127"/>
    </row>
    <row r="175" spans="1:26" hidden="1" outlineLevel="1" x14ac:dyDescent="0.25">
      <c r="A175" s="300"/>
      <c r="B175" s="302"/>
      <c r="C175" s="95" t="s">
        <v>211</v>
      </c>
      <c r="D175" s="128" t="s">
        <v>216</v>
      </c>
      <c r="E175" s="129" t="s">
        <v>35</v>
      </c>
      <c r="F175" s="314" t="s">
        <v>30</v>
      </c>
      <c r="G175" s="294"/>
      <c r="H175" s="269" t="s">
        <v>3</v>
      </c>
      <c r="I175" s="115">
        <v>8740</v>
      </c>
      <c r="J175" s="92" t="str">
        <f t="shared" si="52"/>
        <v>SPT021DC/GGIO10.AnIn1</v>
      </c>
      <c r="K175" s="118" t="s">
        <v>78</v>
      </c>
      <c r="L175" s="104" t="s">
        <v>253</v>
      </c>
      <c r="M175" s="110" t="s">
        <v>51</v>
      </c>
      <c r="N175" s="119"/>
      <c r="O175" s="120"/>
      <c r="P175" s="121"/>
      <c r="Q175" s="122"/>
      <c r="R175" s="122"/>
      <c r="S175" s="123"/>
      <c r="T175" s="124"/>
      <c r="U175" s="125"/>
      <c r="V175" s="126"/>
      <c r="W175" s="122"/>
      <c r="X175" s="127"/>
      <c r="Y175" s="110"/>
      <c r="Z175" s="110"/>
    </row>
    <row r="176" spans="1:26" hidden="1" outlineLevel="1" x14ac:dyDescent="0.25">
      <c r="A176" s="300"/>
      <c r="B176" s="302"/>
      <c r="C176" s="95" t="s">
        <v>212</v>
      </c>
      <c r="D176" s="128" t="s">
        <v>213</v>
      </c>
      <c r="E176" s="129" t="s">
        <v>35</v>
      </c>
      <c r="F176" s="315"/>
      <c r="G176" s="294"/>
      <c r="H176" s="269"/>
      <c r="I176" s="115">
        <v>8742</v>
      </c>
      <c r="J176" s="92" t="str">
        <f t="shared" si="52"/>
        <v>SPT021DC/GGIO10.AnIn2</v>
      </c>
      <c r="K176" s="118" t="s">
        <v>78</v>
      </c>
      <c r="L176" s="104" t="s">
        <v>253</v>
      </c>
      <c r="M176" s="110" t="s">
        <v>52</v>
      </c>
      <c r="N176" s="119"/>
      <c r="O176" s="120"/>
      <c r="P176" s="121"/>
      <c r="Q176" s="122"/>
      <c r="R176" s="122"/>
      <c r="S176" s="123"/>
      <c r="T176" s="124"/>
      <c r="U176" s="125"/>
      <c r="V176" s="126"/>
      <c r="W176" s="122"/>
      <c r="X176" s="127"/>
      <c r="Y176" s="110"/>
      <c r="Z176" s="110"/>
    </row>
    <row r="177" spans="1:26" hidden="1" outlineLevel="1" x14ac:dyDescent="0.25">
      <c r="A177" s="300"/>
      <c r="B177" s="302"/>
      <c r="C177" s="130" t="s">
        <v>214</v>
      </c>
      <c r="D177" s="131" t="s">
        <v>215</v>
      </c>
      <c r="E177" s="132" t="s">
        <v>35</v>
      </c>
      <c r="F177" s="315"/>
      <c r="G177" s="286"/>
      <c r="H177" s="285"/>
      <c r="I177" s="133">
        <v>8744</v>
      </c>
      <c r="J177" s="92" t="str">
        <f t="shared" si="52"/>
        <v>SPT021DC/GGIO10.AnIn3</v>
      </c>
      <c r="K177" s="118" t="s">
        <v>78</v>
      </c>
      <c r="L177" s="104" t="s">
        <v>253</v>
      </c>
      <c r="M177" s="110" t="s">
        <v>53</v>
      </c>
      <c r="N177" s="119"/>
      <c r="O177" s="120"/>
      <c r="P177" s="121"/>
      <c r="Q177" s="122"/>
      <c r="R177" s="122"/>
      <c r="S177" s="123"/>
      <c r="T177" s="124"/>
      <c r="U177" s="125"/>
      <c r="V177" s="126"/>
      <c r="W177" s="122"/>
      <c r="X177" s="127"/>
      <c r="Y177" s="110"/>
      <c r="Z177" s="110"/>
    </row>
    <row r="178" spans="1:26" collapsed="1" x14ac:dyDescent="0.25">
      <c r="A178" s="287"/>
      <c r="B178" s="288"/>
      <c r="C178" s="288"/>
      <c r="D178" s="288"/>
      <c r="E178" s="288"/>
      <c r="F178" s="288"/>
      <c r="G178" s="288"/>
      <c r="H178" s="288"/>
      <c r="I178" s="288"/>
      <c r="J178" s="289"/>
    </row>
    <row r="179" spans="1:26" x14ac:dyDescent="0.25">
      <c r="A179" s="327" t="s">
        <v>314</v>
      </c>
      <c r="B179" s="328"/>
      <c r="C179" s="328"/>
      <c r="D179" s="328"/>
      <c r="E179" s="328"/>
      <c r="F179" s="328"/>
      <c r="G179" s="328"/>
      <c r="H179" s="328"/>
      <c r="I179" s="328"/>
      <c r="J179" s="329"/>
      <c r="K179" s="118"/>
      <c r="N179" s="272"/>
      <c r="O179" s="272"/>
      <c r="P179" s="272"/>
      <c r="Q179" s="272"/>
      <c r="R179" s="272"/>
      <c r="S179" s="272"/>
      <c r="T179" s="272"/>
      <c r="U179" s="272"/>
      <c r="V179" s="272"/>
      <c r="W179" s="272"/>
      <c r="X179" s="127"/>
    </row>
    <row r="180" spans="1:26" outlineLevel="1" x14ac:dyDescent="0.25">
      <c r="A180" s="435">
        <v>29</v>
      </c>
      <c r="B180" s="135" t="s">
        <v>3</v>
      </c>
      <c r="C180" s="129" t="s">
        <v>62</v>
      </c>
      <c r="D180" s="136" t="s">
        <v>79</v>
      </c>
      <c r="E180" s="129" t="s">
        <v>35</v>
      </c>
      <c r="F180" s="314" t="s">
        <v>30</v>
      </c>
      <c r="G180" s="438" t="s">
        <v>331</v>
      </c>
      <c r="H180" s="285" t="s">
        <v>3</v>
      </c>
      <c r="I180" s="115">
        <v>8752</v>
      </c>
      <c r="J180" s="92" t="str">
        <f>IF(OR(D180="",D180="-"),"",CONCATENATE("SPT",K180,"/",N180,L180,".",M180))</f>
        <v>SPT103SKI/SKI_ANGGIO1.AnIn1</v>
      </c>
      <c r="K180" s="182" t="s">
        <v>584</v>
      </c>
      <c r="L180" s="178" t="s">
        <v>244</v>
      </c>
      <c r="M180" s="110" t="s">
        <v>51</v>
      </c>
      <c r="N180" s="181" t="s">
        <v>526</v>
      </c>
      <c r="O180" s="160"/>
      <c r="P180" s="160"/>
      <c r="Q180" s="160"/>
      <c r="R180" s="160"/>
      <c r="S180" s="160"/>
      <c r="T180" s="160"/>
      <c r="U180" s="160"/>
      <c r="V180" s="160"/>
      <c r="W180" s="160"/>
      <c r="X180" s="127"/>
    </row>
    <row r="181" spans="1:26" outlineLevel="1" x14ac:dyDescent="0.25">
      <c r="A181" s="435"/>
      <c r="B181" s="135" t="s">
        <v>3</v>
      </c>
      <c r="C181" s="129" t="s">
        <v>63</v>
      </c>
      <c r="D181" s="136" t="s">
        <v>67</v>
      </c>
      <c r="E181" s="129" t="s">
        <v>35</v>
      </c>
      <c r="F181" s="315"/>
      <c r="G181" s="439"/>
      <c r="H181" s="294"/>
      <c r="I181" s="115">
        <v>8758</v>
      </c>
      <c r="J181" s="92" t="str">
        <f t="shared" ref="J181:J213" si="55">IF(OR(D181="",D181="-"),"",CONCATENATE("SPT",K181,"/",N181,L181,".",M181))</f>
        <v>SPT103SKI/SKI_ANGGIO1.AnIn2</v>
      </c>
      <c r="K181" s="137" t="str">
        <f>K180</f>
        <v>103SKI</v>
      </c>
      <c r="L181" s="112" t="str">
        <f>L180</f>
        <v>GGIO1</v>
      </c>
      <c r="M181" s="110" t="s">
        <v>52</v>
      </c>
      <c r="N181" s="119" t="str">
        <f>N180</f>
        <v>SKI_AN</v>
      </c>
      <c r="O181" s="120"/>
      <c r="P181" s="121"/>
      <c r="Q181" s="122"/>
      <c r="R181" s="122"/>
      <c r="S181" s="123"/>
      <c r="T181" s="124"/>
      <c r="U181" s="125"/>
      <c r="V181" s="126"/>
      <c r="W181" s="122"/>
      <c r="X181" s="127"/>
    </row>
    <row r="182" spans="1:26" outlineLevel="1" x14ac:dyDescent="0.25">
      <c r="A182" s="435"/>
      <c r="B182" s="219" t="s">
        <v>3</v>
      </c>
      <c r="C182" s="129" t="s">
        <v>64</v>
      </c>
      <c r="D182" s="136" t="s">
        <v>68</v>
      </c>
      <c r="E182" s="428" t="s">
        <v>35</v>
      </c>
      <c r="F182" s="315"/>
      <c r="G182" s="439"/>
      <c r="H182" s="294"/>
      <c r="I182" s="115">
        <v>8760</v>
      </c>
      <c r="J182" s="92" t="str">
        <f t="shared" si="55"/>
        <v>SPT103SKI/SKI_ANGGIO1.AnIn3</v>
      </c>
      <c r="K182" s="137" t="str">
        <f t="shared" ref="K182:K216" si="56">K181</f>
        <v>103SKI</v>
      </c>
      <c r="L182" s="112" t="str">
        <f t="shared" ref="L182:L184" si="57">L181</f>
        <v>GGIO1</v>
      </c>
      <c r="M182" s="110" t="s">
        <v>53</v>
      </c>
      <c r="N182" s="119" t="str">
        <f t="shared" ref="N182:N184" si="58">N181</f>
        <v>SKI_AN</v>
      </c>
      <c r="O182" s="120"/>
      <c r="P182" s="121"/>
      <c r="Q182" s="122"/>
      <c r="R182" s="122"/>
      <c r="S182" s="123"/>
      <c r="T182" s="124"/>
      <c r="U182" s="125"/>
      <c r="V182" s="126"/>
      <c r="W182" s="122"/>
      <c r="X182" s="127"/>
    </row>
    <row r="183" spans="1:26" outlineLevel="1" x14ac:dyDescent="0.25">
      <c r="A183" s="435"/>
      <c r="B183" s="219" t="s">
        <v>3</v>
      </c>
      <c r="C183" s="129" t="s">
        <v>65</v>
      </c>
      <c r="D183" s="136" t="s">
        <v>69</v>
      </c>
      <c r="E183" s="428" t="s">
        <v>35</v>
      </c>
      <c r="F183" s="315"/>
      <c r="G183" s="439"/>
      <c r="H183" s="294"/>
      <c r="I183" s="115">
        <v>8764</v>
      </c>
      <c r="J183" s="92" t="str">
        <f t="shared" si="55"/>
        <v>SPT103SKI/SKI_ANGGIO1.AnIn4</v>
      </c>
      <c r="K183" s="137" t="str">
        <f t="shared" si="56"/>
        <v>103SKI</v>
      </c>
      <c r="L183" s="112" t="str">
        <f t="shared" si="57"/>
        <v>GGIO1</v>
      </c>
      <c r="M183" s="110" t="s">
        <v>54</v>
      </c>
      <c r="N183" s="119" t="str">
        <f t="shared" si="58"/>
        <v>SKI_AN</v>
      </c>
      <c r="O183" s="120"/>
      <c r="P183" s="121"/>
      <c r="Q183" s="122"/>
      <c r="R183" s="122"/>
      <c r="S183" s="123"/>
      <c r="T183" s="124"/>
      <c r="U183" s="125"/>
      <c r="V183" s="126"/>
      <c r="W183" s="122"/>
      <c r="X183" s="127"/>
    </row>
    <row r="184" spans="1:26" outlineLevel="1" x14ac:dyDescent="0.25">
      <c r="A184" s="435"/>
      <c r="B184" s="219" t="s">
        <v>3</v>
      </c>
      <c r="C184" s="129" t="s">
        <v>66</v>
      </c>
      <c r="D184" s="136" t="s">
        <v>70</v>
      </c>
      <c r="E184" s="428" t="s">
        <v>35</v>
      </c>
      <c r="F184" s="315"/>
      <c r="G184" s="439"/>
      <c r="H184" s="433"/>
      <c r="I184" s="115">
        <v>8766</v>
      </c>
      <c r="J184" s="434" t="str">
        <f t="shared" si="55"/>
        <v>SPT103SKI/SKI_ANGGIO1.AnIn5</v>
      </c>
      <c r="K184" s="137" t="str">
        <f t="shared" si="56"/>
        <v>103SKI</v>
      </c>
      <c r="L184" s="112" t="str">
        <f t="shared" si="57"/>
        <v>GGIO1</v>
      </c>
      <c r="M184" s="110" t="s">
        <v>77</v>
      </c>
      <c r="N184" s="119" t="str">
        <f t="shared" si="58"/>
        <v>SKI_AN</v>
      </c>
      <c r="O184" s="120"/>
      <c r="P184" s="121"/>
      <c r="Q184" s="122"/>
      <c r="R184" s="122"/>
      <c r="S184" s="123"/>
      <c r="T184" s="124"/>
      <c r="U184" s="125"/>
      <c r="V184" s="126"/>
      <c r="W184" s="122"/>
      <c r="X184" s="127"/>
    </row>
    <row r="185" spans="1:26" outlineLevel="1" x14ac:dyDescent="0.25">
      <c r="A185" s="435"/>
      <c r="B185" s="138" t="s">
        <v>59</v>
      </c>
      <c r="C185" s="129" t="s">
        <v>82</v>
      </c>
      <c r="D185" s="136" t="s">
        <v>81</v>
      </c>
      <c r="E185" s="428" t="s">
        <v>4</v>
      </c>
      <c r="F185" s="436" t="s">
        <v>28</v>
      </c>
      <c r="G185" s="439"/>
      <c r="H185" s="438" t="s">
        <v>59</v>
      </c>
      <c r="I185" s="432">
        <v>4545</v>
      </c>
      <c r="J185" s="434" t="str">
        <f t="shared" si="55"/>
        <v>SPT103SKI/SKI_DOGGIO2.Alm1</v>
      </c>
      <c r="K185" s="182" t="str">
        <f t="shared" si="56"/>
        <v>103SKI</v>
      </c>
      <c r="L185" s="178" t="s">
        <v>245</v>
      </c>
      <c r="M185" s="108" t="s">
        <v>37</v>
      </c>
      <c r="N185" s="181" t="s">
        <v>460</v>
      </c>
      <c r="O185" s="120"/>
      <c r="P185" s="121"/>
      <c r="Q185" s="122"/>
      <c r="R185" s="122"/>
      <c r="S185" s="82">
        <f t="shared" ref="S185:S192" si="59">I185-4095</f>
        <v>450</v>
      </c>
      <c r="T185" s="82" t="str">
        <f t="shared" ref="T185:T192" si="60">_xlfn.CONCAT($T$1,S185)</f>
        <v>lb_dd450</v>
      </c>
      <c r="U185" s="125"/>
      <c r="V185" s="126"/>
      <c r="W185" s="122"/>
      <c r="X185" s="127"/>
    </row>
    <row r="186" spans="1:26" outlineLevel="1" x14ac:dyDescent="0.25">
      <c r="A186" s="435"/>
      <c r="B186" s="138"/>
      <c r="C186" s="129" t="s">
        <v>80</v>
      </c>
      <c r="D186" s="136" t="s">
        <v>83</v>
      </c>
      <c r="E186" s="428" t="s">
        <v>4</v>
      </c>
      <c r="F186" s="437"/>
      <c r="G186" s="439"/>
      <c r="H186" s="439"/>
      <c r="I186" s="432">
        <v>4546</v>
      </c>
      <c r="J186" s="434" t="str">
        <f t="shared" si="55"/>
        <v>SPT103SKI/SKI_DOGGIO2.Alm2</v>
      </c>
      <c r="K186" s="137" t="str">
        <f t="shared" si="56"/>
        <v>103SKI</v>
      </c>
      <c r="L186" s="112" t="str">
        <f>L185</f>
        <v>GGIO2</v>
      </c>
      <c r="M186" s="108" t="s">
        <v>39</v>
      </c>
      <c r="N186" s="119" t="str">
        <f>N185</f>
        <v>SKI_DO</v>
      </c>
      <c r="O186" s="120"/>
      <c r="P186" s="121"/>
      <c r="Q186" s="122"/>
      <c r="R186" s="122"/>
      <c r="S186" s="82">
        <f t="shared" si="59"/>
        <v>451</v>
      </c>
      <c r="T186" s="82" t="str">
        <f t="shared" si="60"/>
        <v>lb_dd451</v>
      </c>
      <c r="U186" s="125"/>
      <c r="V186" s="126"/>
      <c r="W186" s="122"/>
      <c r="X186" s="127"/>
    </row>
    <row r="187" spans="1:26" outlineLevel="1" x14ac:dyDescent="0.25">
      <c r="A187" s="435"/>
      <c r="B187" s="138"/>
      <c r="C187" s="129" t="s">
        <v>71</v>
      </c>
      <c r="D187" s="136" t="s">
        <v>74</v>
      </c>
      <c r="E187" s="428" t="s">
        <v>4</v>
      </c>
      <c r="F187" s="437"/>
      <c r="G187" s="439"/>
      <c r="H187" s="439"/>
      <c r="I187" s="432">
        <v>4548</v>
      </c>
      <c r="J187" s="434" t="str">
        <f t="shared" si="55"/>
        <v>SPT103SKI/SKI_DOGGIO2.Alm3</v>
      </c>
      <c r="K187" s="137" t="str">
        <f t="shared" si="56"/>
        <v>103SKI</v>
      </c>
      <c r="L187" s="112" t="str">
        <f t="shared" ref="L187:L216" si="61">L186</f>
        <v>GGIO2</v>
      </c>
      <c r="M187" s="108" t="s">
        <v>41</v>
      </c>
      <c r="N187" s="119" t="str">
        <f t="shared" ref="N187:N216" si="62">N186</f>
        <v>SKI_DO</v>
      </c>
      <c r="O187" s="120"/>
      <c r="P187" s="121"/>
      <c r="Q187" s="122"/>
      <c r="R187" s="122"/>
      <c r="S187" s="82">
        <f t="shared" si="59"/>
        <v>453</v>
      </c>
      <c r="T187" s="82" t="str">
        <f t="shared" si="60"/>
        <v>lb_dd453</v>
      </c>
      <c r="U187" s="125"/>
      <c r="V187" s="126"/>
      <c r="W187" s="122"/>
      <c r="X187" s="127"/>
      <c r="Z187" s="104"/>
    </row>
    <row r="188" spans="1:26" outlineLevel="1" x14ac:dyDescent="0.25">
      <c r="A188" s="435"/>
      <c r="B188" s="138"/>
      <c r="C188" s="129" t="s">
        <v>84</v>
      </c>
      <c r="D188" s="136" t="s">
        <v>91</v>
      </c>
      <c r="E188" s="428" t="s">
        <v>4</v>
      </c>
      <c r="F188" s="437"/>
      <c r="G188" s="439"/>
      <c r="H188" s="439"/>
      <c r="I188" s="432">
        <v>4549</v>
      </c>
      <c r="J188" s="434" t="str">
        <f t="shared" si="55"/>
        <v>SPT103SKI/SKI_DOGGIO2.Alm4</v>
      </c>
      <c r="K188" s="137" t="str">
        <f t="shared" si="56"/>
        <v>103SKI</v>
      </c>
      <c r="L188" s="112" t="str">
        <f t="shared" si="61"/>
        <v>GGIO2</v>
      </c>
      <c r="M188" s="108" t="s">
        <v>43</v>
      </c>
      <c r="N188" s="119" t="str">
        <f t="shared" si="62"/>
        <v>SKI_DO</v>
      </c>
      <c r="O188" s="120"/>
      <c r="P188" s="121"/>
      <c r="Q188" s="122"/>
      <c r="R188" s="122"/>
      <c r="S188" s="82">
        <f t="shared" si="59"/>
        <v>454</v>
      </c>
      <c r="T188" s="82" t="str">
        <f t="shared" si="60"/>
        <v>lb_dd454</v>
      </c>
      <c r="U188" s="125"/>
      <c r="V188" s="126"/>
      <c r="W188" s="122"/>
      <c r="X188" s="127"/>
      <c r="Z188" s="104"/>
    </row>
    <row r="189" spans="1:26" outlineLevel="1" x14ac:dyDescent="0.25">
      <c r="A189" s="435"/>
      <c r="B189" s="138"/>
      <c r="C189" s="138" t="s">
        <v>85</v>
      </c>
      <c r="D189" s="136" t="s">
        <v>87</v>
      </c>
      <c r="E189" s="429" t="s">
        <v>4</v>
      </c>
      <c r="F189" s="437"/>
      <c r="G189" s="439"/>
      <c r="H189" s="439"/>
      <c r="I189" s="432">
        <v>4554</v>
      </c>
      <c r="J189" s="434" t="str">
        <f t="shared" si="55"/>
        <v>SPT103SKI/SKI_DOGGIO2.Alm5</v>
      </c>
      <c r="K189" s="137" t="str">
        <f t="shared" si="56"/>
        <v>103SKI</v>
      </c>
      <c r="L189" s="112" t="str">
        <f t="shared" si="61"/>
        <v>GGIO2</v>
      </c>
      <c r="M189" s="108" t="s">
        <v>45</v>
      </c>
      <c r="N189" s="119" t="str">
        <f t="shared" si="62"/>
        <v>SKI_DO</v>
      </c>
      <c r="O189" s="120"/>
      <c r="P189" s="121"/>
      <c r="Q189" s="122"/>
      <c r="R189" s="122"/>
      <c r="S189" s="82">
        <f t="shared" si="59"/>
        <v>459</v>
      </c>
      <c r="T189" s="82" t="str">
        <f t="shared" si="60"/>
        <v>lb_dd459</v>
      </c>
      <c r="U189" s="125"/>
      <c r="V189" s="126"/>
      <c r="W189" s="122"/>
      <c r="X189" s="127"/>
      <c r="Z189" s="104"/>
    </row>
    <row r="190" spans="1:26" outlineLevel="1" x14ac:dyDescent="0.25">
      <c r="A190" s="435"/>
      <c r="B190" s="138"/>
      <c r="C190" s="138" t="s">
        <v>86</v>
      </c>
      <c r="D190" s="136" t="s">
        <v>88</v>
      </c>
      <c r="E190" s="429" t="s">
        <v>4</v>
      </c>
      <c r="F190" s="437"/>
      <c r="G190" s="439"/>
      <c r="H190" s="439"/>
      <c r="I190" s="432">
        <v>4555</v>
      </c>
      <c r="J190" s="434" t="str">
        <f t="shared" si="55"/>
        <v>SPT103SKI/SKI_DOGGIO2.Alm6</v>
      </c>
      <c r="K190" s="137" t="str">
        <f t="shared" si="56"/>
        <v>103SKI</v>
      </c>
      <c r="L190" s="112" t="str">
        <f t="shared" si="61"/>
        <v>GGIO2</v>
      </c>
      <c r="M190" s="108" t="s">
        <v>47</v>
      </c>
      <c r="N190" s="119" t="str">
        <f t="shared" si="62"/>
        <v>SKI_DO</v>
      </c>
      <c r="O190" s="120"/>
      <c r="P190" s="121"/>
      <c r="Q190" s="122"/>
      <c r="R190" s="122"/>
      <c r="S190" s="82">
        <f t="shared" si="59"/>
        <v>460</v>
      </c>
      <c r="T190" s="82" t="str">
        <f t="shared" si="60"/>
        <v>lb_dd460</v>
      </c>
      <c r="U190" s="125"/>
      <c r="V190" s="126"/>
      <c r="W190" s="122"/>
      <c r="X190" s="127"/>
      <c r="Z190" s="104"/>
    </row>
    <row r="191" spans="1:26" outlineLevel="1" x14ac:dyDescent="0.25">
      <c r="A191" s="435"/>
      <c r="B191" s="138"/>
      <c r="C191" s="138" t="s">
        <v>72</v>
      </c>
      <c r="D191" s="139" t="s">
        <v>75</v>
      </c>
      <c r="E191" s="429" t="s">
        <v>4</v>
      </c>
      <c r="F191" s="437"/>
      <c r="G191" s="439"/>
      <c r="H191" s="439"/>
      <c r="I191" s="432">
        <v>4557</v>
      </c>
      <c r="J191" s="434" t="str">
        <f t="shared" si="55"/>
        <v>SPT103SKI/SKI_DOGGIO2.Alm7</v>
      </c>
      <c r="K191" s="137" t="str">
        <f t="shared" si="56"/>
        <v>103SKI</v>
      </c>
      <c r="L191" s="112" t="str">
        <f t="shared" si="61"/>
        <v>GGIO2</v>
      </c>
      <c r="M191" s="108" t="s">
        <v>49</v>
      </c>
      <c r="N191" s="119" t="str">
        <f t="shared" si="62"/>
        <v>SKI_DO</v>
      </c>
      <c r="O191" s="120"/>
      <c r="P191" s="121"/>
      <c r="Q191" s="122"/>
      <c r="R191" s="122"/>
      <c r="S191" s="82">
        <f t="shared" si="59"/>
        <v>462</v>
      </c>
      <c r="T191" s="82" t="str">
        <f t="shared" si="60"/>
        <v>lb_dd462</v>
      </c>
      <c r="U191" s="125"/>
      <c r="V191" s="126"/>
      <c r="W191" s="122"/>
      <c r="X191" s="127"/>
      <c r="Z191" s="104"/>
    </row>
    <row r="192" spans="1:26" outlineLevel="1" x14ac:dyDescent="0.25">
      <c r="A192" s="435"/>
      <c r="B192" s="138"/>
      <c r="C192" s="138" t="s">
        <v>90</v>
      </c>
      <c r="D192" s="139" t="s">
        <v>89</v>
      </c>
      <c r="E192" s="429" t="s">
        <v>4</v>
      </c>
      <c r="F192" s="437"/>
      <c r="G192" s="439"/>
      <c r="H192" s="439"/>
      <c r="I192" s="432">
        <v>4558</v>
      </c>
      <c r="J192" s="434" t="str">
        <f t="shared" si="55"/>
        <v>SPT103SKI/SKI_DOGGIO2.Alm8</v>
      </c>
      <c r="K192" s="137" t="str">
        <f t="shared" si="56"/>
        <v>103SKI</v>
      </c>
      <c r="L192" s="112" t="str">
        <f t="shared" si="61"/>
        <v>GGIO2</v>
      </c>
      <c r="M192" s="108" t="s">
        <v>56</v>
      </c>
      <c r="N192" s="119" t="str">
        <f t="shared" si="62"/>
        <v>SKI_DO</v>
      </c>
      <c r="O192" s="120"/>
      <c r="P192" s="121"/>
      <c r="Q192" s="122"/>
      <c r="R192" s="122"/>
      <c r="S192" s="82">
        <f t="shared" si="59"/>
        <v>463</v>
      </c>
      <c r="T192" s="82" t="str">
        <f t="shared" si="60"/>
        <v>lb_dd463</v>
      </c>
      <c r="U192" s="125"/>
      <c r="V192" s="126"/>
      <c r="W192" s="122"/>
      <c r="X192" s="127"/>
      <c r="Z192" s="104"/>
    </row>
    <row r="193" spans="1:26" outlineLevel="1" x14ac:dyDescent="0.25">
      <c r="A193" s="435"/>
      <c r="B193" s="138"/>
      <c r="C193" s="87" t="s">
        <v>461</v>
      </c>
      <c r="D193" s="90" t="str">
        <f>CONCATENATE("Авария. Утечка фидера ",P193,". 1QSF",P193)</f>
        <v>Авария. Утечка фидера 1. 1QSF1</v>
      </c>
      <c r="E193" s="429" t="s">
        <v>4</v>
      </c>
      <c r="F193" s="437"/>
      <c r="G193" s="439"/>
      <c r="H193" s="439"/>
      <c r="I193" s="432">
        <v>4559</v>
      </c>
      <c r="J193" s="434" t="str">
        <f t="shared" si="55"/>
        <v>SPT103SKI/SKI_DOGGIO2.Alm9</v>
      </c>
      <c r="K193" s="137" t="str">
        <f t="shared" si="56"/>
        <v>103SKI</v>
      </c>
      <c r="L193" s="112" t="str">
        <f t="shared" si="61"/>
        <v>GGIO2</v>
      </c>
      <c r="M193" s="108" t="s">
        <v>217</v>
      </c>
      <c r="N193" s="119" t="str">
        <f t="shared" si="62"/>
        <v>SKI_DO</v>
      </c>
      <c r="O193" s="120"/>
      <c r="P193" s="121" t="s">
        <v>8</v>
      </c>
      <c r="Q193" s="122"/>
      <c r="R193" s="122"/>
      <c r="U193" s="125"/>
      <c r="V193" s="126"/>
      <c r="W193" s="122"/>
      <c r="X193" s="127"/>
      <c r="Z193" s="104"/>
    </row>
    <row r="194" spans="1:26" outlineLevel="1" x14ac:dyDescent="0.25">
      <c r="A194" s="435"/>
      <c r="B194" s="138"/>
      <c r="C194" s="87" t="s">
        <v>462</v>
      </c>
      <c r="D194" s="90" t="str">
        <f t="shared" ref="D194:D213" si="63">CONCATENATE("Авария. Утечка фидера ",P194,". 1QSF",P194)</f>
        <v>Авария. Утечка фидера 2. 1QSF2</v>
      </c>
      <c r="E194" s="429" t="s">
        <v>4</v>
      </c>
      <c r="F194" s="437"/>
      <c r="G194" s="439"/>
      <c r="H194" s="439"/>
      <c r="I194" s="432">
        <v>4560</v>
      </c>
      <c r="J194" s="434" t="str">
        <f t="shared" si="55"/>
        <v>SPT103SKI/SKI_DOGGIO2.Alm10</v>
      </c>
      <c r="K194" s="137" t="str">
        <f t="shared" si="56"/>
        <v>103SKI</v>
      </c>
      <c r="L194" s="112" t="str">
        <f t="shared" si="61"/>
        <v>GGIO2</v>
      </c>
      <c r="M194" s="108" t="s">
        <v>218</v>
      </c>
      <c r="N194" s="119" t="str">
        <f t="shared" si="62"/>
        <v>SKI_DO</v>
      </c>
      <c r="O194" s="120"/>
      <c r="P194" s="121">
        <f>P193+1</f>
        <v>2</v>
      </c>
      <c r="Q194" s="122"/>
      <c r="R194" s="122"/>
      <c r="U194" s="125"/>
      <c r="V194" s="126"/>
      <c r="W194" s="122"/>
      <c r="X194" s="127"/>
      <c r="Z194" s="104"/>
    </row>
    <row r="195" spans="1:26" outlineLevel="1" x14ac:dyDescent="0.25">
      <c r="A195" s="435"/>
      <c r="B195" s="138"/>
      <c r="C195" s="87" t="s">
        <v>463</v>
      </c>
      <c r="D195" s="90" t="str">
        <f t="shared" si="63"/>
        <v>Авария. Утечка фидера 3. 1QSF3</v>
      </c>
      <c r="E195" s="429" t="s">
        <v>4</v>
      </c>
      <c r="F195" s="437"/>
      <c r="G195" s="439"/>
      <c r="H195" s="439"/>
      <c r="I195" s="432">
        <v>4561</v>
      </c>
      <c r="J195" s="434" t="str">
        <f t="shared" si="55"/>
        <v>SPT103SKI/SKI_DOGGIO2.Alm11</v>
      </c>
      <c r="K195" s="137" t="str">
        <f t="shared" si="56"/>
        <v>103SKI</v>
      </c>
      <c r="L195" s="112" t="str">
        <f t="shared" si="61"/>
        <v>GGIO2</v>
      </c>
      <c r="M195" s="108" t="s">
        <v>219</v>
      </c>
      <c r="N195" s="119" t="str">
        <f t="shared" si="62"/>
        <v>SKI_DO</v>
      </c>
      <c r="O195" s="120"/>
      <c r="P195" s="121">
        <f t="shared" ref="P195:P216" si="64">P194+1</f>
        <v>3</v>
      </c>
      <c r="Q195" s="122"/>
      <c r="R195" s="122"/>
      <c r="U195" s="125"/>
      <c r="V195" s="126"/>
      <c r="W195" s="122"/>
      <c r="X195" s="127"/>
      <c r="Z195" s="104"/>
    </row>
    <row r="196" spans="1:26" outlineLevel="1" x14ac:dyDescent="0.25">
      <c r="A196" s="435"/>
      <c r="B196" s="138"/>
      <c r="C196" s="87" t="s">
        <v>464</v>
      </c>
      <c r="D196" s="90" t="str">
        <f t="shared" si="63"/>
        <v>Авария. Утечка фидера 4. 1QSF4</v>
      </c>
      <c r="E196" s="429" t="s">
        <v>4</v>
      </c>
      <c r="F196" s="437"/>
      <c r="G196" s="439"/>
      <c r="H196" s="439"/>
      <c r="I196" s="432">
        <v>4562</v>
      </c>
      <c r="J196" s="434" t="str">
        <f t="shared" si="55"/>
        <v>SPT103SKI/SKI_DOGGIO2.Alm12</v>
      </c>
      <c r="K196" s="137" t="str">
        <f t="shared" si="56"/>
        <v>103SKI</v>
      </c>
      <c r="L196" s="112" t="str">
        <f t="shared" si="61"/>
        <v>GGIO2</v>
      </c>
      <c r="M196" s="108" t="s">
        <v>220</v>
      </c>
      <c r="N196" s="119" t="str">
        <f t="shared" si="62"/>
        <v>SKI_DO</v>
      </c>
      <c r="O196" s="120"/>
      <c r="P196" s="121">
        <f t="shared" si="64"/>
        <v>4</v>
      </c>
      <c r="Q196" s="122"/>
      <c r="R196" s="122"/>
      <c r="U196" s="125"/>
      <c r="V196" s="126"/>
      <c r="W196" s="122"/>
      <c r="X196" s="127"/>
      <c r="Z196" s="104"/>
    </row>
    <row r="197" spans="1:26" outlineLevel="1" x14ac:dyDescent="0.25">
      <c r="A197" s="435"/>
      <c r="B197" s="138"/>
      <c r="C197" s="87" t="s">
        <v>465</v>
      </c>
      <c r="D197" s="90" t="str">
        <f t="shared" si="63"/>
        <v>Авария. Утечка фидера 5. 1QSF5</v>
      </c>
      <c r="E197" s="429" t="s">
        <v>4</v>
      </c>
      <c r="F197" s="437"/>
      <c r="G197" s="439"/>
      <c r="H197" s="439"/>
      <c r="I197" s="432">
        <v>4563</v>
      </c>
      <c r="J197" s="434" t="str">
        <f t="shared" si="55"/>
        <v>SPT103SKI/SKI_DOGGIO2.Alm13</v>
      </c>
      <c r="K197" s="137" t="str">
        <f t="shared" si="56"/>
        <v>103SKI</v>
      </c>
      <c r="L197" s="112" t="str">
        <f t="shared" si="61"/>
        <v>GGIO2</v>
      </c>
      <c r="M197" s="108" t="s">
        <v>221</v>
      </c>
      <c r="N197" s="119" t="str">
        <f t="shared" si="62"/>
        <v>SKI_DO</v>
      </c>
      <c r="O197" s="120"/>
      <c r="P197" s="121">
        <f t="shared" si="64"/>
        <v>5</v>
      </c>
      <c r="Q197" s="122"/>
      <c r="R197" s="122"/>
      <c r="U197" s="125"/>
      <c r="V197" s="126"/>
      <c r="W197" s="122"/>
      <c r="X197" s="127"/>
      <c r="Z197" s="104"/>
    </row>
    <row r="198" spans="1:26" outlineLevel="1" x14ac:dyDescent="0.25">
      <c r="A198" s="435"/>
      <c r="B198" s="138"/>
      <c r="C198" s="87" t="s">
        <v>466</v>
      </c>
      <c r="D198" s="90" t="str">
        <f t="shared" si="63"/>
        <v>Авария. Утечка фидера 6. 1QSF6</v>
      </c>
      <c r="E198" s="429" t="s">
        <v>4</v>
      </c>
      <c r="F198" s="437"/>
      <c r="G198" s="439"/>
      <c r="H198" s="439"/>
      <c r="I198" s="432">
        <v>4564</v>
      </c>
      <c r="J198" s="434" t="str">
        <f t="shared" si="55"/>
        <v>SPT103SKI/SKI_DOGGIO2.Alm14</v>
      </c>
      <c r="K198" s="137" t="str">
        <f t="shared" si="56"/>
        <v>103SKI</v>
      </c>
      <c r="L198" s="112" t="str">
        <f t="shared" si="61"/>
        <v>GGIO2</v>
      </c>
      <c r="M198" s="108" t="s">
        <v>222</v>
      </c>
      <c r="N198" s="119" t="str">
        <f t="shared" si="62"/>
        <v>SKI_DO</v>
      </c>
      <c r="O198" s="120"/>
      <c r="P198" s="121">
        <f t="shared" si="64"/>
        <v>6</v>
      </c>
      <c r="Q198" s="122"/>
      <c r="R198" s="122"/>
      <c r="U198" s="125"/>
      <c r="V198" s="126"/>
      <c r="W198" s="122"/>
      <c r="X198" s="127"/>
      <c r="Z198" s="104"/>
    </row>
    <row r="199" spans="1:26" outlineLevel="1" x14ac:dyDescent="0.25">
      <c r="A199" s="435"/>
      <c r="B199" s="138"/>
      <c r="C199" s="87" t="s">
        <v>467</v>
      </c>
      <c r="D199" s="90" t="str">
        <f t="shared" si="63"/>
        <v>Авария. Утечка фидера 7. 1QSF7</v>
      </c>
      <c r="E199" s="429" t="s">
        <v>4</v>
      </c>
      <c r="F199" s="437"/>
      <c r="G199" s="439"/>
      <c r="H199" s="439"/>
      <c r="I199" s="432">
        <v>4565</v>
      </c>
      <c r="J199" s="434" t="str">
        <f t="shared" si="55"/>
        <v>SPT103SKI/SKI_DOGGIO2.Alm15</v>
      </c>
      <c r="K199" s="137" t="str">
        <f t="shared" si="56"/>
        <v>103SKI</v>
      </c>
      <c r="L199" s="112" t="str">
        <f t="shared" si="61"/>
        <v>GGIO2</v>
      </c>
      <c r="M199" s="108" t="s">
        <v>223</v>
      </c>
      <c r="N199" s="119" t="str">
        <f t="shared" si="62"/>
        <v>SKI_DO</v>
      </c>
      <c r="O199" s="120"/>
      <c r="P199" s="121">
        <f t="shared" si="64"/>
        <v>7</v>
      </c>
      <c r="Q199" s="122"/>
      <c r="R199" s="122"/>
      <c r="U199" s="125"/>
      <c r="V199" s="126"/>
      <c r="W199" s="122"/>
      <c r="X199" s="127"/>
      <c r="Z199" s="104"/>
    </row>
    <row r="200" spans="1:26" outlineLevel="1" x14ac:dyDescent="0.25">
      <c r="A200" s="435"/>
      <c r="B200" s="138"/>
      <c r="C200" s="87" t="s">
        <v>468</v>
      </c>
      <c r="D200" s="90" t="str">
        <f t="shared" si="63"/>
        <v>Авария. Утечка фидера 8. 1QSF8</v>
      </c>
      <c r="E200" s="429" t="s">
        <v>4</v>
      </c>
      <c r="F200" s="437"/>
      <c r="G200" s="439"/>
      <c r="H200" s="439"/>
      <c r="I200" s="432">
        <v>4566</v>
      </c>
      <c r="J200" s="434" t="str">
        <f t="shared" si="55"/>
        <v>SPT103SKI/SKI_DOGGIO2.Alm16</v>
      </c>
      <c r="K200" s="137" t="str">
        <f t="shared" si="56"/>
        <v>103SKI</v>
      </c>
      <c r="L200" s="112" t="str">
        <f t="shared" si="61"/>
        <v>GGIO2</v>
      </c>
      <c r="M200" s="108" t="s">
        <v>224</v>
      </c>
      <c r="N200" s="119" t="str">
        <f t="shared" si="62"/>
        <v>SKI_DO</v>
      </c>
      <c r="O200" s="120"/>
      <c r="P200" s="121">
        <f t="shared" si="64"/>
        <v>8</v>
      </c>
      <c r="Q200" s="122"/>
      <c r="R200" s="122"/>
      <c r="U200" s="125"/>
      <c r="V200" s="126"/>
      <c r="W200" s="122"/>
      <c r="X200" s="127"/>
      <c r="Z200" s="104"/>
    </row>
    <row r="201" spans="1:26" outlineLevel="1" x14ac:dyDescent="0.25">
      <c r="A201" s="435"/>
      <c r="B201" s="138"/>
      <c r="C201" s="87" t="s">
        <v>469</v>
      </c>
      <c r="D201" s="90" t="str">
        <f t="shared" si="63"/>
        <v>Авария. Утечка фидера 9. 1QSF9</v>
      </c>
      <c r="E201" s="429" t="s">
        <v>4</v>
      </c>
      <c r="F201" s="437"/>
      <c r="G201" s="439"/>
      <c r="H201" s="439"/>
      <c r="I201" s="432">
        <v>4567</v>
      </c>
      <c r="J201" s="434" t="str">
        <f t="shared" si="55"/>
        <v>SPT103SKI/SKI_DOGGIO2.Alm17</v>
      </c>
      <c r="K201" s="137" t="str">
        <f t="shared" si="56"/>
        <v>103SKI</v>
      </c>
      <c r="L201" s="112" t="str">
        <f t="shared" si="61"/>
        <v>GGIO2</v>
      </c>
      <c r="M201" s="108" t="s">
        <v>225</v>
      </c>
      <c r="N201" s="119" t="str">
        <f t="shared" si="62"/>
        <v>SKI_DO</v>
      </c>
      <c r="O201" s="120"/>
      <c r="P201" s="121">
        <f t="shared" si="64"/>
        <v>9</v>
      </c>
      <c r="Q201" s="122"/>
      <c r="R201" s="122"/>
      <c r="U201" s="125"/>
      <c r="V201" s="126"/>
      <c r="W201" s="122"/>
      <c r="X201" s="127"/>
      <c r="Z201" s="104"/>
    </row>
    <row r="202" spans="1:26" outlineLevel="1" x14ac:dyDescent="0.25">
      <c r="A202" s="435"/>
      <c r="B202" s="138"/>
      <c r="C202" s="87" t="s">
        <v>470</v>
      </c>
      <c r="D202" s="90" t="str">
        <f t="shared" si="63"/>
        <v>Авария. Утечка фидера 10. 1QSF10</v>
      </c>
      <c r="E202" s="429" t="s">
        <v>4</v>
      </c>
      <c r="F202" s="437"/>
      <c r="G202" s="439"/>
      <c r="H202" s="439"/>
      <c r="I202" s="432">
        <v>4568</v>
      </c>
      <c r="J202" s="434" t="str">
        <f t="shared" si="55"/>
        <v>SPT103SKI/SKI_DOGGIO2.Alm18</v>
      </c>
      <c r="K202" s="137" t="str">
        <f t="shared" si="56"/>
        <v>103SKI</v>
      </c>
      <c r="L202" s="112" t="str">
        <f t="shared" si="61"/>
        <v>GGIO2</v>
      </c>
      <c r="M202" s="108" t="s">
        <v>226</v>
      </c>
      <c r="N202" s="119" t="str">
        <f t="shared" si="62"/>
        <v>SKI_DO</v>
      </c>
      <c r="O202" s="120"/>
      <c r="P202" s="121">
        <f t="shared" si="64"/>
        <v>10</v>
      </c>
      <c r="Q202" s="122"/>
      <c r="R202" s="122"/>
      <c r="U202" s="125"/>
      <c r="V202" s="126"/>
      <c r="W202" s="122"/>
      <c r="X202" s="127"/>
      <c r="Z202" s="104"/>
    </row>
    <row r="203" spans="1:26" outlineLevel="1" x14ac:dyDescent="0.25">
      <c r="A203" s="435"/>
      <c r="B203" s="138"/>
      <c r="C203" s="87" t="s">
        <v>471</v>
      </c>
      <c r="D203" s="90" t="str">
        <f t="shared" si="63"/>
        <v>Авария. Утечка фидера 11. 1QSF11</v>
      </c>
      <c r="E203" s="429" t="s">
        <v>4</v>
      </c>
      <c r="F203" s="437"/>
      <c r="G203" s="439"/>
      <c r="H203" s="439"/>
      <c r="I203" s="432">
        <v>4569</v>
      </c>
      <c r="J203" s="434" t="str">
        <f t="shared" si="55"/>
        <v>SPT103SKI/SKI_DOGGIO2.Alm19</v>
      </c>
      <c r="K203" s="137" t="str">
        <f t="shared" si="56"/>
        <v>103SKI</v>
      </c>
      <c r="L203" s="112" t="str">
        <f t="shared" si="61"/>
        <v>GGIO2</v>
      </c>
      <c r="M203" s="108" t="s">
        <v>227</v>
      </c>
      <c r="N203" s="119" t="str">
        <f t="shared" si="62"/>
        <v>SKI_DO</v>
      </c>
      <c r="O203" s="120"/>
      <c r="P203" s="121">
        <f t="shared" si="64"/>
        <v>11</v>
      </c>
      <c r="Q203" s="122"/>
      <c r="R203" s="122"/>
      <c r="U203" s="125"/>
      <c r="V203" s="126"/>
      <c r="W203" s="122"/>
      <c r="X203" s="127"/>
      <c r="Z203" s="104"/>
    </row>
    <row r="204" spans="1:26" outlineLevel="1" x14ac:dyDescent="0.25">
      <c r="A204" s="435"/>
      <c r="B204" s="138"/>
      <c r="C204" s="87" t="s">
        <v>472</v>
      </c>
      <c r="D204" s="90" t="str">
        <f t="shared" si="63"/>
        <v>Авария. Утечка фидера 12. 1QSF12</v>
      </c>
      <c r="E204" s="429" t="s">
        <v>4</v>
      </c>
      <c r="F204" s="437"/>
      <c r="G204" s="439"/>
      <c r="H204" s="439"/>
      <c r="I204" s="432">
        <v>4570</v>
      </c>
      <c r="J204" s="434" t="str">
        <f t="shared" si="55"/>
        <v>SPT103SKI/SKI_DOGGIO2.Alm20</v>
      </c>
      <c r="K204" s="137" t="str">
        <f t="shared" si="56"/>
        <v>103SKI</v>
      </c>
      <c r="L204" s="112" t="str">
        <f t="shared" si="61"/>
        <v>GGIO2</v>
      </c>
      <c r="M204" s="108" t="s">
        <v>228</v>
      </c>
      <c r="N204" s="119" t="str">
        <f t="shared" si="62"/>
        <v>SKI_DO</v>
      </c>
      <c r="O204" s="120"/>
      <c r="P204" s="121">
        <f t="shared" si="64"/>
        <v>12</v>
      </c>
      <c r="Q204" s="122"/>
      <c r="R204" s="122"/>
      <c r="U204" s="125"/>
      <c r="V204" s="126"/>
      <c r="W204" s="122"/>
      <c r="X204" s="127"/>
      <c r="Z204" s="104"/>
    </row>
    <row r="205" spans="1:26" outlineLevel="1" x14ac:dyDescent="0.25">
      <c r="A205" s="435"/>
      <c r="B205" s="138"/>
      <c r="C205" s="87" t="s">
        <v>473</v>
      </c>
      <c r="D205" s="90" t="str">
        <f t="shared" si="63"/>
        <v>Авария. Утечка фидера 13. 1QSF13</v>
      </c>
      <c r="E205" s="429" t="s">
        <v>4</v>
      </c>
      <c r="F205" s="437"/>
      <c r="G205" s="439"/>
      <c r="H205" s="439"/>
      <c r="I205" s="432">
        <v>4571</v>
      </c>
      <c r="J205" s="434" t="str">
        <f t="shared" si="55"/>
        <v>SPT103SKI/SKI_DOGGIO2.Alm21</v>
      </c>
      <c r="K205" s="137" t="str">
        <f t="shared" si="56"/>
        <v>103SKI</v>
      </c>
      <c r="L205" s="112" t="str">
        <f t="shared" si="61"/>
        <v>GGIO2</v>
      </c>
      <c r="M205" s="108" t="s">
        <v>229</v>
      </c>
      <c r="N205" s="119" t="str">
        <f t="shared" si="62"/>
        <v>SKI_DO</v>
      </c>
      <c r="O205" s="120"/>
      <c r="P205" s="121">
        <f t="shared" si="64"/>
        <v>13</v>
      </c>
      <c r="Q205" s="122"/>
      <c r="R205" s="122"/>
      <c r="U205" s="125"/>
      <c r="V205" s="126"/>
      <c r="W205" s="122"/>
      <c r="X205" s="127"/>
      <c r="Z205" s="104"/>
    </row>
    <row r="206" spans="1:26" outlineLevel="1" x14ac:dyDescent="0.25">
      <c r="A206" s="435"/>
      <c r="B206" s="138"/>
      <c r="C206" s="87" t="s">
        <v>474</v>
      </c>
      <c r="D206" s="90" t="str">
        <f t="shared" si="63"/>
        <v>Авария. Утечка фидера 14. 1QSF14</v>
      </c>
      <c r="E206" s="429" t="s">
        <v>4</v>
      </c>
      <c r="F206" s="437"/>
      <c r="G206" s="439"/>
      <c r="H206" s="439"/>
      <c r="I206" s="432">
        <v>4572</v>
      </c>
      <c r="J206" s="434" t="str">
        <f t="shared" si="55"/>
        <v>SPT103SKI/SKI_DOGGIO2.Alm22</v>
      </c>
      <c r="K206" s="137" t="str">
        <f t="shared" si="56"/>
        <v>103SKI</v>
      </c>
      <c r="L206" s="112" t="str">
        <f t="shared" si="61"/>
        <v>GGIO2</v>
      </c>
      <c r="M206" s="108" t="s">
        <v>230</v>
      </c>
      <c r="N206" s="119" t="str">
        <f t="shared" si="62"/>
        <v>SKI_DO</v>
      </c>
      <c r="O206" s="120"/>
      <c r="P206" s="121">
        <f>P205+1</f>
        <v>14</v>
      </c>
      <c r="Q206" s="122"/>
      <c r="R206" s="122"/>
      <c r="U206" s="125"/>
      <c r="V206" s="126"/>
      <c r="W206" s="122"/>
      <c r="X206" s="127"/>
      <c r="Z206" s="104"/>
    </row>
    <row r="207" spans="1:26" outlineLevel="1" x14ac:dyDescent="0.25">
      <c r="A207" s="435"/>
      <c r="B207" s="138"/>
      <c r="C207" s="87" t="s">
        <v>475</v>
      </c>
      <c r="D207" s="90" t="str">
        <f t="shared" si="63"/>
        <v>Авария. Утечка фидера 15. 1QSF15</v>
      </c>
      <c r="E207" s="429" t="s">
        <v>4</v>
      </c>
      <c r="F207" s="437"/>
      <c r="G207" s="439"/>
      <c r="H207" s="439"/>
      <c r="I207" s="432">
        <v>4573</v>
      </c>
      <c r="J207" s="434" t="str">
        <f t="shared" si="55"/>
        <v>SPT103SKI/SKI_DOGGIO2.Alm23</v>
      </c>
      <c r="K207" s="137" t="str">
        <f t="shared" si="56"/>
        <v>103SKI</v>
      </c>
      <c r="L207" s="112" t="str">
        <f t="shared" si="61"/>
        <v>GGIO2</v>
      </c>
      <c r="M207" s="108" t="s">
        <v>231</v>
      </c>
      <c r="N207" s="119" t="str">
        <f t="shared" si="62"/>
        <v>SKI_DO</v>
      </c>
      <c r="O207" s="120"/>
      <c r="P207" s="121">
        <f t="shared" si="64"/>
        <v>15</v>
      </c>
      <c r="Q207" s="122"/>
      <c r="R207" s="122"/>
      <c r="U207" s="125"/>
      <c r="V207" s="126"/>
      <c r="W207" s="122"/>
      <c r="X207" s="127"/>
      <c r="Z207" s="104"/>
    </row>
    <row r="208" spans="1:26" outlineLevel="1" x14ac:dyDescent="0.25">
      <c r="A208" s="435"/>
      <c r="B208" s="138"/>
      <c r="C208" s="87" t="s">
        <v>476</v>
      </c>
      <c r="D208" s="90" t="str">
        <f t="shared" si="63"/>
        <v>Авария. Утечка фидера 16. 1QSF16</v>
      </c>
      <c r="E208" s="429" t="s">
        <v>4</v>
      </c>
      <c r="F208" s="437"/>
      <c r="G208" s="439"/>
      <c r="H208" s="439"/>
      <c r="I208" s="432">
        <v>4574</v>
      </c>
      <c r="J208" s="434" t="str">
        <f t="shared" si="55"/>
        <v>SPT103SKI/SKI_DOGGIO2.Alm24</v>
      </c>
      <c r="K208" s="137" t="str">
        <f t="shared" si="56"/>
        <v>103SKI</v>
      </c>
      <c r="L208" s="112" t="str">
        <f t="shared" si="61"/>
        <v>GGIO2</v>
      </c>
      <c r="M208" s="108" t="s">
        <v>232</v>
      </c>
      <c r="N208" s="119" t="str">
        <f t="shared" si="62"/>
        <v>SKI_DO</v>
      </c>
      <c r="O208" s="120"/>
      <c r="P208" s="121">
        <f t="shared" si="64"/>
        <v>16</v>
      </c>
      <c r="Q208" s="122"/>
      <c r="R208" s="122"/>
      <c r="U208" s="125"/>
      <c r="V208" s="126"/>
      <c r="W208" s="122"/>
      <c r="X208" s="127"/>
      <c r="Z208" s="104"/>
    </row>
    <row r="209" spans="1:26" outlineLevel="1" x14ac:dyDescent="0.25">
      <c r="A209" s="435"/>
      <c r="B209" s="138"/>
      <c r="C209" s="87" t="s">
        <v>182</v>
      </c>
      <c r="D209" s="90" t="str">
        <f t="shared" si="63"/>
        <v>Авария. Утечка фидера 17. 1QSF17</v>
      </c>
      <c r="E209" s="429" t="s">
        <v>4</v>
      </c>
      <c r="F209" s="437"/>
      <c r="G209" s="439"/>
      <c r="H209" s="439"/>
      <c r="I209" s="432">
        <v>4575</v>
      </c>
      <c r="J209" s="434" t="str">
        <f t="shared" si="55"/>
        <v>SPT103SKI/SKI_DOGGIO2.Alm25</v>
      </c>
      <c r="K209" s="137" t="str">
        <f t="shared" si="56"/>
        <v>103SKI</v>
      </c>
      <c r="L209" s="112" t="str">
        <f t="shared" si="61"/>
        <v>GGIO2</v>
      </c>
      <c r="M209" s="108" t="s">
        <v>233</v>
      </c>
      <c r="N209" s="119" t="str">
        <f t="shared" si="62"/>
        <v>SKI_DO</v>
      </c>
      <c r="O209" s="120"/>
      <c r="P209" s="121">
        <f t="shared" si="64"/>
        <v>17</v>
      </c>
      <c r="Q209" s="122"/>
      <c r="R209" s="122"/>
      <c r="U209" s="125"/>
      <c r="V209" s="126"/>
      <c r="W209" s="122"/>
      <c r="X209" s="127"/>
      <c r="Z209" s="104"/>
    </row>
    <row r="210" spans="1:26" outlineLevel="1" x14ac:dyDescent="0.25">
      <c r="A210" s="435"/>
      <c r="B210" s="138"/>
      <c r="C210" s="87" t="s">
        <v>183</v>
      </c>
      <c r="D210" s="90" t="str">
        <f t="shared" si="63"/>
        <v>Авария. Утечка фидера 18. 1QSF18</v>
      </c>
      <c r="E210" s="429" t="s">
        <v>4</v>
      </c>
      <c r="F210" s="437"/>
      <c r="G210" s="439"/>
      <c r="H210" s="439"/>
      <c r="I210" s="432">
        <v>4576</v>
      </c>
      <c r="J210" s="434" t="str">
        <f t="shared" si="55"/>
        <v>SPT103SKI/SKI_DOGGIO2.Alm26</v>
      </c>
      <c r="K210" s="137" t="str">
        <f t="shared" si="56"/>
        <v>103SKI</v>
      </c>
      <c r="L210" s="112" t="str">
        <f t="shared" si="61"/>
        <v>GGIO2</v>
      </c>
      <c r="M210" s="108" t="s">
        <v>234</v>
      </c>
      <c r="N210" s="119" t="str">
        <f t="shared" si="62"/>
        <v>SKI_DO</v>
      </c>
      <c r="O210" s="120"/>
      <c r="P210" s="121">
        <f t="shared" si="64"/>
        <v>18</v>
      </c>
      <c r="Q210" s="122"/>
      <c r="R210" s="122"/>
      <c r="U210" s="125"/>
      <c r="V210" s="126"/>
      <c r="W210" s="122"/>
      <c r="X210" s="127"/>
      <c r="Z210" s="104"/>
    </row>
    <row r="211" spans="1:26" outlineLevel="1" x14ac:dyDescent="0.25">
      <c r="A211" s="435"/>
      <c r="B211" s="138"/>
      <c r="C211" s="87" t="s">
        <v>477</v>
      </c>
      <c r="D211" s="90" t="str">
        <f t="shared" si="63"/>
        <v>Авария. Утечка фидера 19. 1QSF19</v>
      </c>
      <c r="E211" s="429" t="s">
        <v>4</v>
      </c>
      <c r="F211" s="437"/>
      <c r="G211" s="439"/>
      <c r="H211" s="439"/>
      <c r="I211" s="432">
        <v>4577</v>
      </c>
      <c r="J211" s="434" t="str">
        <f t="shared" si="55"/>
        <v>SPT103SKI/SKI_DOGGIO2.Alm27</v>
      </c>
      <c r="K211" s="137" t="str">
        <f t="shared" si="56"/>
        <v>103SKI</v>
      </c>
      <c r="L211" s="112" t="str">
        <f t="shared" si="61"/>
        <v>GGIO2</v>
      </c>
      <c r="M211" s="108" t="s">
        <v>235</v>
      </c>
      <c r="N211" s="119" t="str">
        <f t="shared" si="62"/>
        <v>SKI_DO</v>
      </c>
      <c r="O211" s="120"/>
      <c r="P211" s="121">
        <f t="shared" si="64"/>
        <v>19</v>
      </c>
      <c r="Q211" s="122"/>
      <c r="R211" s="122"/>
      <c r="U211" s="125"/>
      <c r="V211" s="126"/>
      <c r="W211" s="122"/>
      <c r="X211" s="127"/>
      <c r="Z211" s="104"/>
    </row>
    <row r="212" spans="1:26" outlineLevel="1" x14ac:dyDescent="0.25">
      <c r="A212" s="435"/>
      <c r="B212" s="138"/>
      <c r="C212" s="87" t="s">
        <v>478</v>
      </c>
      <c r="D212" s="90" t="str">
        <f t="shared" si="63"/>
        <v>Авария. Утечка фидера 20. 1QSF20</v>
      </c>
      <c r="E212" s="429" t="s">
        <v>4</v>
      </c>
      <c r="F212" s="437"/>
      <c r="G212" s="439"/>
      <c r="H212" s="439"/>
      <c r="I212" s="432">
        <v>4578</v>
      </c>
      <c r="J212" s="434" t="str">
        <f t="shared" si="55"/>
        <v>SPT103SKI/SKI_DOGGIO2.Alm28</v>
      </c>
      <c r="K212" s="137" t="str">
        <f t="shared" si="56"/>
        <v>103SKI</v>
      </c>
      <c r="L212" s="112" t="str">
        <f t="shared" si="61"/>
        <v>GGIO2</v>
      </c>
      <c r="M212" s="108" t="s">
        <v>236</v>
      </c>
      <c r="N212" s="119" t="str">
        <f t="shared" si="62"/>
        <v>SKI_DO</v>
      </c>
      <c r="O212" s="120"/>
      <c r="P212" s="121">
        <f t="shared" si="64"/>
        <v>20</v>
      </c>
      <c r="Q212" s="122"/>
      <c r="R212" s="122"/>
      <c r="U212" s="125"/>
      <c r="V212" s="126"/>
      <c r="W212" s="122"/>
      <c r="X212" s="127"/>
      <c r="Z212" s="104"/>
    </row>
    <row r="213" spans="1:26" outlineLevel="1" x14ac:dyDescent="0.25">
      <c r="A213" s="435"/>
      <c r="B213" s="138"/>
      <c r="C213" s="87" t="s">
        <v>479</v>
      </c>
      <c r="D213" s="90" t="str">
        <f t="shared" si="63"/>
        <v>Авария. Утечка фидера 21. 1QSF21</v>
      </c>
      <c r="E213" s="429" t="s">
        <v>4</v>
      </c>
      <c r="F213" s="437"/>
      <c r="G213" s="439"/>
      <c r="H213" s="439"/>
      <c r="I213" s="432">
        <v>4579</v>
      </c>
      <c r="J213" s="434" t="str">
        <f t="shared" si="55"/>
        <v>SPT103SKI/SKI_DOGGIO2.Alm29</v>
      </c>
      <c r="K213" s="137" t="str">
        <f t="shared" si="56"/>
        <v>103SKI</v>
      </c>
      <c r="L213" s="112" t="str">
        <f t="shared" si="61"/>
        <v>GGIO2</v>
      </c>
      <c r="M213" s="108" t="s">
        <v>237</v>
      </c>
      <c r="N213" s="119" t="str">
        <f t="shared" si="62"/>
        <v>SKI_DO</v>
      </c>
      <c r="O213" s="120"/>
      <c r="P213" s="121">
        <f t="shared" si="64"/>
        <v>21</v>
      </c>
      <c r="Q213" s="122"/>
      <c r="R213" s="122"/>
      <c r="U213" s="125"/>
      <c r="V213" s="126"/>
      <c r="W213" s="122"/>
      <c r="X213" s="127"/>
      <c r="Z213" s="104"/>
    </row>
    <row r="214" spans="1:26" outlineLevel="1" x14ac:dyDescent="0.25">
      <c r="A214" s="435"/>
      <c r="B214" s="138"/>
      <c r="C214" s="87" t="s">
        <v>480</v>
      </c>
      <c r="D214" s="90" t="str">
        <f>CONCATENATE("Авария. Утечка фидера ",P214,". 1QSF",P214)</f>
        <v>Авария. Утечка фидера 22. 1QSF22</v>
      </c>
      <c r="E214" s="429" t="s">
        <v>4</v>
      </c>
      <c r="F214" s="437"/>
      <c r="G214" s="439"/>
      <c r="H214" s="439"/>
      <c r="I214" s="432">
        <v>4580</v>
      </c>
      <c r="J214" s="434" t="str">
        <f>IF(OR(D214="",D214="-"),"",CONCATENATE("SPT",K214,"/",N214,L214,".",M214))</f>
        <v>SPT103SKI/SKI_DOGGIO2.Alm30</v>
      </c>
      <c r="K214" s="137" t="str">
        <f t="shared" si="56"/>
        <v>103SKI</v>
      </c>
      <c r="L214" s="112" t="str">
        <f t="shared" si="61"/>
        <v>GGIO2</v>
      </c>
      <c r="M214" s="108" t="s">
        <v>238</v>
      </c>
      <c r="N214" s="119" t="str">
        <f t="shared" si="62"/>
        <v>SKI_DO</v>
      </c>
      <c r="O214" s="120"/>
      <c r="P214" s="121">
        <f t="shared" si="64"/>
        <v>22</v>
      </c>
      <c r="Q214" s="122"/>
      <c r="R214" s="122"/>
      <c r="U214" s="125"/>
      <c r="V214" s="126"/>
      <c r="W214" s="122"/>
      <c r="X214" s="127"/>
      <c r="Z214" s="104"/>
    </row>
    <row r="215" spans="1:26" outlineLevel="1" x14ac:dyDescent="0.25">
      <c r="A215" s="435"/>
      <c r="B215" s="138"/>
      <c r="C215" s="87" t="s">
        <v>481</v>
      </c>
      <c r="D215" s="90" t="str">
        <f>CONCATENATE("Авария. Утечка фидера ",P215,". 1QSF",P215)</f>
        <v>Авария. Утечка фидера 23. 1QSF23</v>
      </c>
      <c r="E215" s="429" t="s">
        <v>4</v>
      </c>
      <c r="F215" s="437"/>
      <c r="G215" s="439"/>
      <c r="H215" s="439"/>
      <c r="I215" s="432">
        <v>4581</v>
      </c>
      <c r="J215" s="434" t="str">
        <f>IF(OR(D215="",D215="-"),"",CONCATENATE("SPT",K215,"/",N215,L215,".",M215))</f>
        <v>SPT103SKI/SKI_DOGGIO2.Alm31</v>
      </c>
      <c r="K215" s="137" t="str">
        <f t="shared" si="56"/>
        <v>103SKI</v>
      </c>
      <c r="L215" s="112" t="str">
        <f t="shared" si="61"/>
        <v>GGIO2</v>
      </c>
      <c r="M215" s="108" t="s">
        <v>243</v>
      </c>
      <c r="N215" s="119" t="str">
        <f t="shared" si="62"/>
        <v>SKI_DO</v>
      </c>
      <c r="O215" s="120"/>
      <c r="P215" s="121">
        <f t="shared" si="64"/>
        <v>23</v>
      </c>
      <c r="Q215" s="122"/>
      <c r="R215" s="122"/>
      <c r="U215" s="125"/>
      <c r="V215" s="126"/>
      <c r="W215" s="122"/>
      <c r="X215" s="127"/>
      <c r="Z215" s="104"/>
    </row>
    <row r="216" spans="1:26" ht="13.2" customHeight="1" outlineLevel="1" x14ac:dyDescent="0.25">
      <c r="A216" s="435"/>
      <c r="B216" s="138"/>
      <c r="C216" s="87" t="s">
        <v>482</v>
      </c>
      <c r="D216" s="90" t="str">
        <f>CONCATENATE("Авария. Утечка фидера ",P216,". 1QSF",P216)</f>
        <v>Авария. Утечка фидера 24. 1QSF24</v>
      </c>
      <c r="E216" s="429" t="s">
        <v>4</v>
      </c>
      <c r="F216" s="437"/>
      <c r="G216" s="439"/>
      <c r="H216" s="439"/>
      <c r="I216" s="432">
        <v>4582</v>
      </c>
      <c r="J216" s="434" t="str">
        <f>IF(OR(D216="",D216="-"),"",CONCATENATE("SPT",K216,"/",N216,L216,".",M216))</f>
        <v>SPT103SKI/SKI_DOGGIO2.Alm32</v>
      </c>
      <c r="K216" s="137" t="str">
        <f t="shared" si="56"/>
        <v>103SKI</v>
      </c>
      <c r="L216" s="112" t="str">
        <f t="shared" si="61"/>
        <v>GGIO2</v>
      </c>
      <c r="M216" s="108" t="s">
        <v>483</v>
      </c>
      <c r="N216" s="119" t="str">
        <f t="shared" si="62"/>
        <v>SKI_DO</v>
      </c>
      <c r="O216" s="120"/>
      <c r="P216" s="121">
        <f t="shared" si="64"/>
        <v>24</v>
      </c>
      <c r="Q216" s="122"/>
      <c r="R216" s="122"/>
      <c r="U216" s="125"/>
      <c r="V216" s="126"/>
      <c r="W216" s="122"/>
      <c r="X216" s="127"/>
      <c r="Z216" s="104"/>
    </row>
    <row r="217" spans="1:26" x14ac:dyDescent="0.25">
      <c r="A217" s="252"/>
      <c r="B217" s="253"/>
      <c r="C217" s="253"/>
      <c r="D217" s="253"/>
      <c r="E217" s="253"/>
      <c r="F217" s="253"/>
      <c r="G217" s="253"/>
      <c r="H217" s="253"/>
      <c r="I217" s="253"/>
      <c r="J217" s="254"/>
      <c r="K217" s="118"/>
      <c r="M217" s="110"/>
      <c r="N217" s="119"/>
      <c r="O217" s="120"/>
      <c r="P217" s="121"/>
      <c r="Q217" s="122"/>
      <c r="R217" s="122"/>
      <c r="S217" s="123"/>
      <c r="T217" s="124"/>
      <c r="U217" s="125"/>
      <c r="V217" s="126"/>
      <c r="W217" s="122"/>
      <c r="X217" s="127"/>
      <c r="Y217" s="110"/>
      <c r="Z217" s="110"/>
    </row>
    <row r="218" spans="1:26" s="110" customFormat="1" ht="15" customHeight="1" x14ac:dyDescent="0.25">
      <c r="A218" s="258" t="s">
        <v>310</v>
      </c>
      <c r="B218" s="259"/>
      <c r="C218" s="259"/>
      <c r="D218" s="259"/>
      <c r="E218" s="259"/>
      <c r="F218" s="259"/>
      <c r="G218" s="259"/>
      <c r="H218" s="259"/>
      <c r="I218" s="259"/>
      <c r="J218" s="260"/>
      <c r="K218" s="137"/>
      <c r="L218" s="112"/>
      <c r="P218" s="117"/>
    </row>
    <row r="219" spans="1:26" s="110" customFormat="1" ht="15" customHeight="1" outlineLevel="1" x14ac:dyDescent="0.25">
      <c r="A219" s="140">
        <v>16</v>
      </c>
      <c r="B219" s="271" t="s">
        <v>3</v>
      </c>
      <c r="C219" s="113" t="s">
        <v>16</v>
      </c>
      <c r="D219" s="107" t="s">
        <v>332</v>
      </c>
      <c r="E219" s="129" t="s">
        <v>35</v>
      </c>
      <c r="F219" s="141" t="s">
        <v>30</v>
      </c>
      <c r="G219" s="285" t="s">
        <v>329</v>
      </c>
      <c r="H219" s="285" t="s">
        <v>3</v>
      </c>
      <c r="I219" s="115">
        <v>8774</v>
      </c>
      <c r="J219" s="107" t="str">
        <f>IF(OR(D219="",D219="-"),"",CONCATENATE("SPT",K219,"/",N219,L219,".",M219))</f>
        <v>SPTRSPT/RSPT_MMXN1.Vol</v>
      </c>
      <c r="K219" s="177" t="s">
        <v>538</v>
      </c>
      <c r="L219" s="180" t="s">
        <v>256</v>
      </c>
      <c r="M219" s="110" t="s">
        <v>267</v>
      </c>
      <c r="N219" s="179" t="s">
        <v>561</v>
      </c>
      <c r="O219" s="110" t="s">
        <v>73</v>
      </c>
      <c r="P219" s="117"/>
    </row>
    <row r="220" spans="1:26" s="110" customFormat="1" ht="15" customHeight="1" outlineLevel="1" x14ac:dyDescent="0.25">
      <c r="A220" s="140">
        <v>17</v>
      </c>
      <c r="B220" s="271"/>
      <c r="C220" s="113" t="s">
        <v>31</v>
      </c>
      <c r="D220" s="107" t="s">
        <v>595</v>
      </c>
      <c r="E220" s="129" t="s">
        <v>35</v>
      </c>
      <c r="F220" s="141" t="s">
        <v>30</v>
      </c>
      <c r="G220" s="294"/>
      <c r="H220" s="294"/>
      <c r="I220" s="115">
        <v>8776</v>
      </c>
      <c r="J220" s="107" t="str">
        <f>IF(OR(D220="",D220="-"),"",CONCATENATE("SPT",K220,"/",N220,L220,".",M220))</f>
        <v>SPTRSPT/RSPT_MMXN2.Vol</v>
      </c>
      <c r="K220" s="111" t="str">
        <f>K219</f>
        <v>RSPT</v>
      </c>
      <c r="L220" s="142" t="s">
        <v>257</v>
      </c>
      <c r="M220" s="110" t="s">
        <v>267</v>
      </c>
      <c r="N220" s="110" t="str">
        <f>N219</f>
        <v>RSPT_</v>
      </c>
      <c r="O220" s="110" t="s">
        <v>73</v>
      </c>
      <c r="P220" s="117"/>
    </row>
    <row r="221" spans="1:26" s="110" customFormat="1" ht="15" customHeight="1" outlineLevel="1" x14ac:dyDescent="0.25">
      <c r="A221" s="140">
        <v>18</v>
      </c>
      <c r="B221" s="271"/>
      <c r="C221" s="113" t="s">
        <v>16</v>
      </c>
      <c r="D221" s="107" t="s">
        <v>334</v>
      </c>
      <c r="E221" s="129" t="s">
        <v>35</v>
      </c>
      <c r="F221" s="141" t="s">
        <v>30</v>
      </c>
      <c r="G221" s="294"/>
      <c r="H221" s="294"/>
      <c r="I221" s="115">
        <v>8778</v>
      </c>
      <c r="J221" s="107" t="str">
        <f>IF(OR(D221="",D221="-"),"",CONCATENATE("SPT",K221,"/",N221,L221,".",M221))</f>
        <v>SPTRSPT/RSPT_MMXN3.Vol</v>
      </c>
      <c r="K221" s="111" t="str">
        <f t="shared" ref="K221:K222" si="65">K220</f>
        <v>RSPT</v>
      </c>
      <c r="L221" s="142" t="s">
        <v>258</v>
      </c>
      <c r="M221" s="110" t="s">
        <v>267</v>
      </c>
      <c r="N221" s="110" t="str">
        <f t="shared" ref="N221:N222" si="66">N220</f>
        <v>RSPT_</v>
      </c>
      <c r="O221" s="110" t="s">
        <v>73</v>
      </c>
      <c r="P221" s="117"/>
    </row>
    <row r="222" spans="1:26" s="110" customFormat="1" ht="15" customHeight="1" outlineLevel="1" x14ac:dyDescent="0.25">
      <c r="A222" s="140">
        <v>19</v>
      </c>
      <c r="B222" s="271"/>
      <c r="C222" s="113" t="s">
        <v>16</v>
      </c>
      <c r="D222" s="107" t="s">
        <v>335</v>
      </c>
      <c r="E222" s="129" t="s">
        <v>35</v>
      </c>
      <c r="F222" s="141" t="s">
        <v>30</v>
      </c>
      <c r="G222" s="286"/>
      <c r="H222" s="286"/>
      <c r="I222" s="115">
        <v>8780</v>
      </c>
      <c r="J222" s="107" t="str">
        <f>IF(OR(D222="",D222="-"),"",CONCATENATE("SPT",K222,"/",N222,L222,".",M222))</f>
        <v>SPTRSPT/RSPT_MMXN4.Vol</v>
      </c>
      <c r="K222" s="111" t="str">
        <f t="shared" si="65"/>
        <v>RSPT</v>
      </c>
      <c r="L222" s="142" t="s">
        <v>259</v>
      </c>
      <c r="M222" s="110" t="s">
        <v>267</v>
      </c>
      <c r="N222" s="110" t="str">
        <f t="shared" si="66"/>
        <v>RSPT_</v>
      </c>
      <c r="O222" s="110" t="s">
        <v>73</v>
      </c>
      <c r="P222" s="117"/>
    </row>
    <row r="223" spans="1:26" s="110" customFormat="1" ht="15" customHeight="1" outlineLevel="1" x14ac:dyDescent="0.25">
      <c r="A223" s="148">
        <v>16</v>
      </c>
      <c r="B223" s="198" t="s">
        <v>3</v>
      </c>
      <c r="C223" s="113" t="s">
        <v>16</v>
      </c>
      <c r="D223" s="107" t="s">
        <v>332</v>
      </c>
      <c r="E223" s="129" t="s">
        <v>35</v>
      </c>
      <c r="F223" s="141" t="s">
        <v>30</v>
      </c>
      <c r="G223" s="201" t="s">
        <v>329</v>
      </c>
      <c r="H223" s="204" t="s">
        <v>3</v>
      </c>
      <c r="I223" s="164">
        <v>8774</v>
      </c>
      <c r="J223" s="107" t="str">
        <f>IF(OR(D223="",D223="-"),"",CONCATENATE("SPT",K223,"/",N223,L223,".",M223))</f>
        <v>SPTRSPT/RSPT_GGIO3.AnIn1</v>
      </c>
      <c r="K223" s="177" t="s">
        <v>538</v>
      </c>
      <c r="L223" s="180" t="s">
        <v>246</v>
      </c>
      <c r="M223" s="142" t="s">
        <v>51</v>
      </c>
      <c r="N223" s="179" t="s">
        <v>561</v>
      </c>
      <c r="P223" s="117"/>
    </row>
    <row r="224" spans="1:26" s="110" customFormat="1" ht="15" customHeight="1" outlineLevel="1" x14ac:dyDescent="0.25">
      <c r="A224" s="207">
        <v>17</v>
      </c>
      <c r="B224" s="199"/>
      <c r="C224" s="161" t="s">
        <v>16</v>
      </c>
      <c r="D224" s="208" t="s">
        <v>333</v>
      </c>
      <c r="E224" s="132" t="s">
        <v>35</v>
      </c>
      <c r="F224" s="209" t="s">
        <v>30</v>
      </c>
      <c r="G224" s="202"/>
      <c r="H224" s="205"/>
      <c r="I224" s="210">
        <v>8776</v>
      </c>
      <c r="J224" s="208" t="str">
        <f>IF(OR(D224="",D224="-"),"",CONCATENATE("SPT",K224,"/",N224,L224,".",M224))</f>
        <v>SPTRSPT/RSPT_GGIO3.AnIn2</v>
      </c>
      <c r="K224" s="111" t="str">
        <f>K223</f>
        <v>RSPT</v>
      </c>
      <c r="L224" s="142" t="str">
        <f>L223</f>
        <v>GGIO3</v>
      </c>
      <c r="M224" s="142" t="s">
        <v>52</v>
      </c>
      <c r="N224" s="110" t="str">
        <f>N223</f>
        <v>RSPT_</v>
      </c>
      <c r="P224" s="117"/>
    </row>
    <row r="225" spans="1:24" s="110" customFormat="1" ht="15" customHeight="1" outlineLevel="1" x14ac:dyDescent="0.25">
      <c r="A225" s="261"/>
      <c r="B225" s="262"/>
      <c r="C225" s="262"/>
      <c r="D225" s="262"/>
      <c r="E225" s="262"/>
      <c r="F225" s="262"/>
      <c r="G225" s="262"/>
      <c r="H225" s="262"/>
      <c r="I225" s="262"/>
      <c r="J225" s="263"/>
      <c r="K225" s="111"/>
      <c r="L225" s="142"/>
      <c r="M225" s="142"/>
      <c r="P225" s="117"/>
    </row>
    <row r="226" spans="1:24" s="110" customFormat="1" ht="15" customHeight="1" outlineLevel="1" x14ac:dyDescent="0.25">
      <c r="A226" s="258" t="s">
        <v>310</v>
      </c>
      <c r="B226" s="259"/>
      <c r="C226" s="259"/>
      <c r="D226" s="259"/>
      <c r="E226" s="259"/>
      <c r="F226" s="259"/>
      <c r="G226" s="259"/>
      <c r="H226" s="259"/>
      <c r="I226" s="259"/>
      <c r="J226" s="260"/>
      <c r="K226" s="111"/>
      <c r="L226" s="142"/>
      <c r="M226" s="142"/>
      <c r="P226" s="117"/>
    </row>
    <row r="227" spans="1:24" s="110" customFormat="1" ht="15" customHeight="1" outlineLevel="1" x14ac:dyDescent="0.25">
      <c r="A227" s="156">
        <v>20</v>
      </c>
      <c r="B227" s="200"/>
      <c r="C227" s="113" t="s">
        <v>31</v>
      </c>
      <c r="D227" s="107" t="s">
        <v>596</v>
      </c>
      <c r="E227" s="129" t="s">
        <v>35</v>
      </c>
      <c r="F227" s="141" t="s">
        <v>30</v>
      </c>
      <c r="G227" s="203"/>
      <c r="H227" s="206"/>
      <c r="I227" s="159">
        <v>8782</v>
      </c>
      <c r="J227" s="107" t="str">
        <f>IF(OR(D227="",D227="-"),"",CONCATENATE("SPT",K227,"/",N227,L227,".",M227))</f>
        <v>SPTRSPT/RSPT_GGIO3.AnIn1</v>
      </c>
      <c r="K227" s="177" t="s">
        <v>538</v>
      </c>
      <c r="L227" s="180" t="s">
        <v>246</v>
      </c>
      <c r="M227" s="142" t="s">
        <v>51</v>
      </c>
      <c r="N227" s="179" t="s">
        <v>561</v>
      </c>
      <c r="P227" s="117"/>
    </row>
    <row r="228" spans="1:24" s="110" customFormat="1" ht="15" customHeight="1" x14ac:dyDescent="0.25">
      <c r="A228" s="322"/>
      <c r="B228" s="323"/>
      <c r="C228" s="323"/>
      <c r="D228" s="323"/>
      <c r="E228" s="323"/>
      <c r="F228" s="323"/>
      <c r="G228" s="323"/>
      <c r="H228" s="323"/>
      <c r="I228" s="323"/>
      <c r="J228" s="324"/>
      <c r="K228" s="111"/>
      <c r="L228" s="112"/>
      <c r="P228" s="117"/>
    </row>
    <row r="229" spans="1:24" s="110" customFormat="1" ht="15" customHeight="1" x14ac:dyDescent="0.25">
      <c r="A229" s="258" t="s">
        <v>289</v>
      </c>
      <c r="B229" s="259"/>
      <c r="C229" s="259"/>
      <c r="D229" s="259"/>
      <c r="E229" s="259"/>
      <c r="F229" s="259"/>
      <c r="G229" s="259"/>
      <c r="H229" s="259"/>
      <c r="I229" s="259"/>
      <c r="J229" s="260"/>
      <c r="K229" s="137"/>
      <c r="L229" s="112"/>
      <c r="P229" s="117"/>
    </row>
    <row r="230" spans="1:24" s="110" customFormat="1" ht="15" hidden="1" customHeight="1" outlineLevel="1" x14ac:dyDescent="0.25">
      <c r="A230" s="143">
        <v>30</v>
      </c>
      <c r="B230" s="314" t="s">
        <v>3</v>
      </c>
      <c r="C230" s="113" t="s">
        <v>31</v>
      </c>
      <c r="D230" s="144" t="s">
        <v>336</v>
      </c>
      <c r="E230" s="129" t="s">
        <v>35</v>
      </c>
      <c r="F230" s="141" t="s">
        <v>30</v>
      </c>
      <c r="G230" s="285" t="s">
        <v>330</v>
      </c>
      <c r="H230" s="285" t="s">
        <v>3</v>
      </c>
      <c r="I230" s="115">
        <v>8782</v>
      </c>
      <c r="J230" s="107" t="str">
        <f>IF(OR(D230="",D230="-"),"",CONCATENATE("SPT021",K230,"/",L230,".",M230))</f>
        <v>SPT021DC/MMXN5.Amp</v>
      </c>
      <c r="K230" s="111" t="s">
        <v>78</v>
      </c>
      <c r="L230" s="142" t="s">
        <v>260</v>
      </c>
      <c r="M230" s="142" t="s">
        <v>268</v>
      </c>
      <c r="P230" s="117"/>
    </row>
    <row r="231" spans="1:24" s="110" customFormat="1" ht="15" hidden="1" customHeight="1" outlineLevel="1" x14ac:dyDescent="0.25">
      <c r="A231" s="140">
        <v>31</v>
      </c>
      <c r="B231" s="315"/>
      <c r="C231" s="113" t="s">
        <v>16</v>
      </c>
      <c r="D231" s="107" t="s">
        <v>337</v>
      </c>
      <c r="E231" s="129" t="s">
        <v>35</v>
      </c>
      <c r="F231" s="141" t="s">
        <v>30</v>
      </c>
      <c r="G231" s="286"/>
      <c r="H231" s="294"/>
      <c r="I231" s="115">
        <v>8784</v>
      </c>
      <c r="J231" s="107" t="str">
        <f>IF(OR(D231="",D231="-"),"",CONCATENATE("SPT021",K231,"/",L231,".",M231))</f>
        <v>SPT021DC/MMXN6.Vol</v>
      </c>
      <c r="K231" s="111" t="s">
        <v>78</v>
      </c>
      <c r="L231" s="142" t="s">
        <v>261</v>
      </c>
      <c r="M231" s="110" t="s">
        <v>267</v>
      </c>
      <c r="O231" s="110" t="s">
        <v>73</v>
      </c>
      <c r="P231" s="117"/>
    </row>
    <row r="232" spans="1:24" s="110" customFormat="1" ht="15" customHeight="1" collapsed="1" x14ac:dyDescent="0.25">
      <c r="A232" s="322"/>
      <c r="B232" s="323"/>
      <c r="C232" s="323"/>
      <c r="D232" s="323"/>
      <c r="E232" s="323"/>
      <c r="F232" s="323"/>
      <c r="G232" s="323"/>
      <c r="H232" s="323"/>
      <c r="I232" s="323"/>
      <c r="J232" s="324"/>
      <c r="K232" s="111"/>
      <c r="L232" s="112"/>
      <c r="P232" s="117"/>
    </row>
    <row r="233" spans="1:24" s="110" customFormat="1" ht="15" customHeight="1" x14ac:dyDescent="0.25">
      <c r="A233" s="258" t="s">
        <v>315</v>
      </c>
      <c r="B233" s="259"/>
      <c r="C233" s="259"/>
      <c r="D233" s="259"/>
      <c r="E233" s="259"/>
      <c r="F233" s="259"/>
      <c r="G233" s="259"/>
      <c r="H233" s="259"/>
      <c r="I233" s="259"/>
      <c r="J233" s="260"/>
      <c r="K233" s="137"/>
      <c r="L233" s="112"/>
      <c r="P233" s="117"/>
    </row>
    <row r="234" spans="1:24" s="110" customFormat="1" ht="15" customHeight="1" outlineLevel="1" x14ac:dyDescent="0.25">
      <c r="A234" s="143">
        <v>21</v>
      </c>
      <c r="B234" s="145" t="s">
        <v>3</v>
      </c>
      <c r="C234" s="113" t="s">
        <v>211</v>
      </c>
      <c r="D234" s="144" t="s">
        <v>309</v>
      </c>
      <c r="E234" s="129" t="s">
        <v>35</v>
      </c>
      <c r="F234" s="141" t="s">
        <v>30</v>
      </c>
      <c r="G234" s="146" t="s">
        <v>330</v>
      </c>
      <c r="H234" s="147" t="s">
        <v>3</v>
      </c>
      <c r="I234" s="115">
        <v>8786</v>
      </c>
      <c r="J234" s="107" t="str">
        <f>IF(OR(D234="",D234="-"),"",CONCATENATE("SPT",K234,"/",N234,L234,".",M234))</f>
        <v>SPT103DC/SHOL1_GGIO12.AnIn1</v>
      </c>
      <c r="K234" s="177" t="s">
        <v>583</v>
      </c>
      <c r="L234" s="180" t="s">
        <v>255</v>
      </c>
      <c r="M234" s="142" t="s">
        <v>51</v>
      </c>
      <c r="N234" s="179" t="s">
        <v>585</v>
      </c>
      <c r="P234" s="117"/>
    </row>
    <row r="235" spans="1:24" s="110" customFormat="1" ht="15" customHeight="1" outlineLevel="1" x14ac:dyDescent="0.25">
      <c r="A235" s="261"/>
      <c r="B235" s="262"/>
      <c r="C235" s="262"/>
      <c r="D235" s="262"/>
      <c r="E235" s="262"/>
      <c r="F235" s="262"/>
      <c r="G235" s="262"/>
      <c r="H235" s="262"/>
      <c r="I235" s="262"/>
      <c r="J235" s="263"/>
      <c r="K235" s="111"/>
      <c r="L235" s="142"/>
      <c r="M235" s="142"/>
      <c r="P235" s="117"/>
    </row>
    <row r="236" spans="1:24" s="110" customFormat="1" ht="15" customHeight="1" x14ac:dyDescent="0.25">
      <c r="A236" s="261"/>
      <c r="B236" s="262"/>
      <c r="C236" s="262"/>
      <c r="D236" s="262"/>
      <c r="E236" s="262"/>
      <c r="F236" s="262"/>
      <c r="G236" s="262"/>
      <c r="H236" s="262"/>
      <c r="I236" s="262"/>
      <c r="J236" s="263"/>
      <c r="K236" s="111"/>
      <c r="L236" s="142"/>
      <c r="M236" s="142"/>
      <c r="P236" s="117"/>
    </row>
    <row r="237" spans="1:24" x14ac:dyDescent="0.25">
      <c r="A237" s="265" t="s">
        <v>239</v>
      </c>
      <c r="B237" s="266"/>
      <c r="C237" s="266"/>
      <c r="D237" s="266"/>
      <c r="E237" s="266"/>
      <c r="F237" s="266"/>
      <c r="G237" s="266"/>
      <c r="H237" s="266"/>
      <c r="I237" s="266"/>
      <c r="J237" s="267"/>
    </row>
    <row r="238" spans="1:24" outlineLevel="1" x14ac:dyDescent="0.25">
      <c r="A238" s="299">
        <v>1</v>
      </c>
      <c r="B238" s="301" t="s">
        <v>3</v>
      </c>
      <c r="C238" s="149" t="s">
        <v>103</v>
      </c>
      <c r="D238" s="149" t="s">
        <v>115</v>
      </c>
      <c r="E238" s="150" t="s">
        <v>2</v>
      </c>
      <c r="F238" s="314" t="s">
        <v>28</v>
      </c>
      <c r="G238" s="285" t="s">
        <v>338</v>
      </c>
      <c r="H238" s="282" t="s">
        <v>59</v>
      </c>
      <c r="I238" s="151">
        <v>4229</v>
      </c>
      <c r="J238" s="107" t="str">
        <f>IF(OR(D238="",D238="-"),"",CONCATENATE("SPT",K238,"/",N238,L238,".",M238))</f>
        <v>SPT103UG1/ZVU1_GGIO1.Ind1</v>
      </c>
      <c r="K238" s="177" t="s">
        <v>586</v>
      </c>
      <c r="L238" s="178" t="s">
        <v>244</v>
      </c>
      <c r="M238" s="82" t="s">
        <v>36</v>
      </c>
      <c r="N238" s="179" t="s">
        <v>587</v>
      </c>
      <c r="S238" s="82">
        <f t="shared" ref="S238:S287" si="67">I238-4095</f>
        <v>134</v>
      </c>
      <c r="T238" s="82" t="str">
        <f t="shared" ref="T238:T287" si="68">_xlfn.CONCAT($T$1,S238)</f>
        <v>lb_dd134</v>
      </c>
      <c r="X238" s="82">
        <v>1</v>
      </c>
    </row>
    <row r="239" spans="1:24" outlineLevel="1" x14ac:dyDescent="0.25">
      <c r="A239" s="300"/>
      <c r="B239" s="302"/>
      <c r="C239" s="128" t="s">
        <v>104</v>
      </c>
      <c r="D239" s="128" t="s">
        <v>116</v>
      </c>
      <c r="E239" s="150" t="s">
        <v>2</v>
      </c>
      <c r="F239" s="315"/>
      <c r="G239" s="294"/>
      <c r="H239" s="283"/>
      <c r="I239" s="115">
        <v>4230</v>
      </c>
      <c r="J239" s="107" t="str">
        <f>IF(OR(D239="",D239="-"),"",CONCATENATE("SPT",K239,"/",N239,L239,".",M239))</f>
        <v>SPT103UG1/ZVU1_GGIO1.Ind2</v>
      </c>
      <c r="K239" s="103" t="str">
        <f>K238</f>
        <v>103UG1</v>
      </c>
      <c r="L239" s="104" t="str">
        <f>L238</f>
        <v>GGIO1</v>
      </c>
      <c r="M239" s="82" t="s">
        <v>38</v>
      </c>
      <c r="N239" s="82" t="str">
        <f>N238</f>
        <v>ZVU1_</v>
      </c>
      <c r="S239" s="82">
        <f t="shared" si="67"/>
        <v>135</v>
      </c>
      <c r="T239" s="82" t="str">
        <f t="shared" si="68"/>
        <v>lb_dd135</v>
      </c>
      <c r="X239" s="82">
        <v>2</v>
      </c>
    </row>
    <row r="240" spans="1:24" outlineLevel="1" x14ac:dyDescent="0.25">
      <c r="A240" s="300"/>
      <c r="B240" s="302"/>
      <c r="C240" s="128" t="s">
        <v>105</v>
      </c>
      <c r="D240" s="128" t="s">
        <v>117</v>
      </c>
      <c r="E240" s="150" t="s">
        <v>2</v>
      </c>
      <c r="F240" s="315"/>
      <c r="G240" s="294"/>
      <c r="H240" s="283"/>
      <c r="I240" s="115">
        <v>4231</v>
      </c>
      <c r="J240" s="107" t="str">
        <f>IF(OR(D240="",D240="-"),"",CONCATENATE("SPT",K240,"/",N240,L240,".",M240))</f>
        <v>SPT103UG1/ZVU1_GGIO1.Ind3</v>
      </c>
      <c r="K240" s="103" t="str">
        <f t="shared" ref="K240:K292" si="69">K239</f>
        <v>103UG1</v>
      </c>
      <c r="L240" s="104" t="str">
        <f t="shared" ref="L240:L287" si="70">L239</f>
        <v>GGIO1</v>
      </c>
      <c r="M240" s="82" t="s">
        <v>40</v>
      </c>
      <c r="N240" s="82" t="str">
        <f t="shared" ref="N240:N287" si="71">N239</f>
        <v>ZVU1_</v>
      </c>
      <c r="S240" s="82">
        <f t="shared" si="67"/>
        <v>136</v>
      </c>
      <c r="T240" s="82" t="str">
        <f t="shared" si="68"/>
        <v>lb_dd136</v>
      </c>
      <c r="X240" s="82">
        <v>3</v>
      </c>
    </row>
    <row r="241" spans="1:24" outlineLevel="1" x14ac:dyDescent="0.25">
      <c r="A241" s="300"/>
      <c r="B241" s="302"/>
      <c r="C241" s="149" t="s">
        <v>106</v>
      </c>
      <c r="D241" s="128" t="s">
        <v>118</v>
      </c>
      <c r="E241" s="150" t="s">
        <v>2</v>
      </c>
      <c r="F241" s="315"/>
      <c r="G241" s="294"/>
      <c r="H241" s="283"/>
      <c r="I241" s="115">
        <v>4232</v>
      </c>
      <c r="J241" s="107" t="str">
        <f>IF(OR(D241="",D241="-"),"",CONCATENATE("SPT",K241,"/",N241,L241,".",M241))</f>
        <v>SPT103UG1/ZVU1_GGIO1.Ind4</v>
      </c>
      <c r="K241" s="103" t="str">
        <f t="shared" si="69"/>
        <v>103UG1</v>
      </c>
      <c r="L241" s="104" t="str">
        <f t="shared" si="70"/>
        <v>GGIO1</v>
      </c>
      <c r="M241" s="82" t="s">
        <v>42</v>
      </c>
      <c r="N241" s="82" t="str">
        <f t="shared" si="71"/>
        <v>ZVU1_</v>
      </c>
      <c r="S241" s="82">
        <f t="shared" si="67"/>
        <v>137</v>
      </c>
      <c r="T241" s="82" t="str">
        <f t="shared" si="68"/>
        <v>lb_dd137</v>
      </c>
      <c r="X241" s="82">
        <v>4</v>
      </c>
    </row>
    <row r="242" spans="1:24" outlineLevel="1" x14ac:dyDescent="0.25">
      <c r="A242" s="300"/>
      <c r="B242" s="302"/>
      <c r="C242" s="149" t="s">
        <v>107</v>
      </c>
      <c r="D242" s="128" t="s">
        <v>119</v>
      </c>
      <c r="E242" s="150" t="s">
        <v>2</v>
      </c>
      <c r="F242" s="315"/>
      <c r="G242" s="294"/>
      <c r="H242" s="283"/>
      <c r="I242" s="115">
        <v>4233</v>
      </c>
      <c r="J242" s="107" t="str">
        <f>IF(OR(D242="",D242="-"),"",CONCATENATE("SPT",K242,"/",N242,L242,".",M242))</f>
        <v>SPT103UG1/ZVU1_GGIO1.Ind5</v>
      </c>
      <c r="K242" s="103" t="str">
        <f t="shared" si="69"/>
        <v>103UG1</v>
      </c>
      <c r="L242" s="104" t="str">
        <f t="shared" si="70"/>
        <v>GGIO1</v>
      </c>
      <c r="M242" s="82" t="s">
        <v>44</v>
      </c>
      <c r="N242" s="82" t="str">
        <f t="shared" si="71"/>
        <v>ZVU1_</v>
      </c>
      <c r="S242" s="82">
        <f t="shared" si="67"/>
        <v>138</v>
      </c>
      <c r="T242" s="82" t="str">
        <f t="shared" si="68"/>
        <v>lb_dd138</v>
      </c>
      <c r="X242" s="82">
        <v>5</v>
      </c>
    </row>
    <row r="243" spans="1:24" outlineLevel="1" x14ac:dyDescent="0.25">
      <c r="A243" s="300"/>
      <c r="B243" s="302"/>
      <c r="C243" s="149" t="s">
        <v>108</v>
      </c>
      <c r="D243" s="128" t="s">
        <v>120</v>
      </c>
      <c r="E243" s="150" t="s">
        <v>10</v>
      </c>
      <c r="F243" s="315"/>
      <c r="G243" s="294"/>
      <c r="H243" s="283"/>
      <c r="I243" s="115">
        <v>4234</v>
      </c>
      <c r="J243" s="107" t="str">
        <f>IF(OR(D243="",D243="-"),"",CONCATENATE("SPT",K243,"/",N243,L243,".",M243))</f>
        <v>SPT103UG1/ZVU1_GGIO1.Ind6</v>
      </c>
      <c r="K243" s="103" t="str">
        <f t="shared" si="69"/>
        <v>103UG1</v>
      </c>
      <c r="L243" s="104" t="str">
        <f t="shared" si="70"/>
        <v>GGIO1</v>
      </c>
      <c r="M243" s="82" t="s">
        <v>46</v>
      </c>
      <c r="N243" s="82" t="str">
        <f t="shared" si="71"/>
        <v>ZVU1_</v>
      </c>
      <c r="S243" s="82">
        <f t="shared" si="67"/>
        <v>139</v>
      </c>
      <c r="T243" s="82" t="str">
        <f t="shared" si="68"/>
        <v>lb_dd139</v>
      </c>
      <c r="X243" s="82">
        <v>6</v>
      </c>
    </row>
    <row r="244" spans="1:24" outlineLevel="1" x14ac:dyDescent="0.25">
      <c r="A244" s="300"/>
      <c r="B244" s="302"/>
      <c r="C244" s="149" t="s">
        <v>109</v>
      </c>
      <c r="D244" s="128" t="s">
        <v>121</v>
      </c>
      <c r="E244" s="150" t="s">
        <v>10</v>
      </c>
      <c r="F244" s="315"/>
      <c r="G244" s="294"/>
      <c r="H244" s="283"/>
      <c r="I244" s="115">
        <v>4235</v>
      </c>
      <c r="J244" s="107" t="str">
        <f>IF(OR(D244="",D244="-"),"",CONCATENATE("SPT",K244,"/",N244,L244,".",M244))</f>
        <v>SPT103UG1/ZVU1_GGIO1.Alm1</v>
      </c>
      <c r="K244" s="103" t="str">
        <f t="shared" si="69"/>
        <v>103UG1</v>
      </c>
      <c r="L244" s="104" t="str">
        <f t="shared" si="70"/>
        <v>GGIO1</v>
      </c>
      <c r="M244" s="108" t="s">
        <v>37</v>
      </c>
      <c r="N244" s="82" t="str">
        <f t="shared" si="71"/>
        <v>ZVU1_</v>
      </c>
      <c r="S244" s="82">
        <f t="shared" si="67"/>
        <v>140</v>
      </c>
      <c r="T244" s="82" t="str">
        <f t="shared" si="68"/>
        <v>lb_dd140</v>
      </c>
      <c r="X244" s="82">
        <v>7</v>
      </c>
    </row>
    <row r="245" spans="1:24" outlineLevel="1" x14ac:dyDescent="0.25">
      <c r="A245" s="300"/>
      <c r="B245" s="302"/>
      <c r="C245" s="149" t="s">
        <v>110</v>
      </c>
      <c r="D245" s="128" t="s">
        <v>122</v>
      </c>
      <c r="E245" s="150" t="s">
        <v>10</v>
      </c>
      <c r="F245" s="315"/>
      <c r="G245" s="294"/>
      <c r="H245" s="283"/>
      <c r="I245" s="115">
        <v>4236</v>
      </c>
      <c r="J245" s="107" t="str">
        <f>IF(OR(D245="",D245="-"),"",CONCATENATE("SPT",K245,"/",N245,L245,".",M245))</f>
        <v>SPT103UG1/ZVU1_GGIO1.Alm2</v>
      </c>
      <c r="K245" s="103" t="str">
        <f t="shared" si="69"/>
        <v>103UG1</v>
      </c>
      <c r="L245" s="104" t="str">
        <f t="shared" si="70"/>
        <v>GGIO1</v>
      </c>
      <c r="M245" s="108" t="s">
        <v>39</v>
      </c>
      <c r="N245" s="82" t="str">
        <f t="shared" si="71"/>
        <v>ZVU1_</v>
      </c>
      <c r="S245" s="82">
        <f t="shared" si="67"/>
        <v>141</v>
      </c>
      <c r="T245" s="82" t="str">
        <f t="shared" si="68"/>
        <v>lb_dd141</v>
      </c>
      <c r="X245" s="82">
        <v>8</v>
      </c>
    </row>
    <row r="246" spans="1:24" outlineLevel="1" x14ac:dyDescent="0.25">
      <c r="A246" s="300"/>
      <c r="B246" s="302"/>
      <c r="C246" s="149" t="s">
        <v>111</v>
      </c>
      <c r="D246" s="128" t="s">
        <v>123</v>
      </c>
      <c r="E246" s="150" t="s">
        <v>4</v>
      </c>
      <c r="F246" s="315"/>
      <c r="G246" s="294"/>
      <c r="H246" s="283"/>
      <c r="I246" s="115">
        <v>4237</v>
      </c>
      <c r="J246" s="107" t="str">
        <f>IF(OR(D246="",D246="-"),"",CONCATENATE("SPT",K246,"/",N246,L246,".",M246))</f>
        <v>SPT103UG1/ZVU1_GGIO1.Alm3</v>
      </c>
      <c r="K246" s="103" t="str">
        <f t="shared" si="69"/>
        <v>103UG1</v>
      </c>
      <c r="L246" s="104" t="str">
        <f t="shared" si="70"/>
        <v>GGIO1</v>
      </c>
      <c r="M246" s="108" t="s">
        <v>41</v>
      </c>
      <c r="N246" s="82" t="str">
        <f t="shared" si="71"/>
        <v>ZVU1_</v>
      </c>
      <c r="S246" s="82">
        <f t="shared" si="67"/>
        <v>142</v>
      </c>
      <c r="T246" s="82" t="str">
        <f t="shared" si="68"/>
        <v>lb_dd142</v>
      </c>
      <c r="X246" s="82">
        <v>9</v>
      </c>
    </row>
    <row r="247" spans="1:24" outlineLevel="1" x14ac:dyDescent="0.25">
      <c r="A247" s="300"/>
      <c r="B247" s="302"/>
      <c r="C247" s="149" t="s">
        <v>112</v>
      </c>
      <c r="D247" s="128" t="s">
        <v>124</v>
      </c>
      <c r="E247" s="150" t="s">
        <v>2</v>
      </c>
      <c r="F247" s="315"/>
      <c r="G247" s="294"/>
      <c r="H247" s="283"/>
      <c r="I247" s="115">
        <v>4238</v>
      </c>
      <c r="J247" s="107" t="str">
        <f>IF(OR(D247="",D247="-"),"",CONCATENATE("SPT",K247,"/",N247,L247,".",M247))</f>
        <v>SPT103UG1/ZVU1_GGIO1.Ind7</v>
      </c>
      <c r="K247" s="103" t="str">
        <f t="shared" si="69"/>
        <v>103UG1</v>
      </c>
      <c r="L247" s="104" t="str">
        <f t="shared" si="70"/>
        <v>GGIO1</v>
      </c>
      <c r="M247" s="82" t="s">
        <v>48</v>
      </c>
      <c r="N247" s="82" t="str">
        <f t="shared" si="71"/>
        <v>ZVU1_</v>
      </c>
      <c r="S247" s="82">
        <f t="shared" si="67"/>
        <v>143</v>
      </c>
      <c r="T247" s="82" t="str">
        <f t="shared" si="68"/>
        <v>lb_dd143</v>
      </c>
      <c r="X247" s="82">
        <v>10</v>
      </c>
    </row>
    <row r="248" spans="1:24" outlineLevel="1" x14ac:dyDescent="0.25">
      <c r="A248" s="300"/>
      <c r="B248" s="302"/>
      <c r="C248" s="149" t="s">
        <v>113</v>
      </c>
      <c r="D248" s="128" t="s">
        <v>125</v>
      </c>
      <c r="E248" s="150" t="s">
        <v>4</v>
      </c>
      <c r="F248" s="315"/>
      <c r="G248" s="294"/>
      <c r="H248" s="283"/>
      <c r="I248" s="115">
        <v>4239</v>
      </c>
      <c r="J248" s="107" t="str">
        <f>IF(OR(D248="",D248="-"),"",CONCATENATE("SPT",K248,"/",N248,L248,".",M248))</f>
        <v>SPT103UG1/ZVU1_GGIO1.Alm4</v>
      </c>
      <c r="K248" s="103" t="str">
        <f t="shared" si="69"/>
        <v>103UG1</v>
      </c>
      <c r="L248" s="104" t="str">
        <f t="shared" si="70"/>
        <v>GGIO1</v>
      </c>
      <c r="M248" s="108" t="s">
        <v>43</v>
      </c>
      <c r="N248" s="82" t="str">
        <f t="shared" si="71"/>
        <v>ZVU1_</v>
      </c>
      <c r="S248" s="82">
        <f t="shared" si="67"/>
        <v>144</v>
      </c>
      <c r="T248" s="82" t="str">
        <f t="shared" si="68"/>
        <v>lb_dd144</v>
      </c>
      <c r="X248" s="82">
        <v>11</v>
      </c>
    </row>
    <row r="249" spans="1:24" outlineLevel="1" x14ac:dyDescent="0.25">
      <c r="A249" s="300"/>
      <c r="B249" s="302"/>
      <c r="C249" s="149" t="s">
        <v>114</v>
      </c>
      <c r="D249" s="128" t="s">
        <v>126</v>
      </c>
      <c r="E249" s="150" t="s">
        <v>2</v>
      </c>
      <c r="F249" s="315"/>
      <c r="G249" s="294"/>
      <c r="H249" s="283"/>
      <c r="I249" s="115">
        <v>4240</v>
      </c>
      <c r="J249" s="107" t="str">
        <f>IF(OR(D249="",D249="-"),"",CONCATENATE("SPT",K249,"/",N249,L249,".",M249))</f>
        <v>SPT103UG1/ZVU1_GGIO1.Ind8</v>
      </c>
      <c r="K249" s="103" t="str">
        <f t="shared" si="69"/>
        <v>103UG1</v>
      </c>
      <c r="L249" s="104" t="str">
        <f t="shared" si="70"/>
        <v>GGIO1</v>
      </c>
      <c r="M249" s="82" t="s">
        <v>55</v>
      </c>
      <c r="N249" s="82" t="str">
        <f t="shared" si="71"/>
        <v>ZVU1_</v>
      </c>
      <c r="S249" s="82">
        <f t="shared" si="67"/>
        <v>145</v>
      </c>
      <c r="T249" s="82" t="str">
        <f t="shared" si="68"/>
        <v>lb_dd145</v>
      </c>
      <c r="X249" s="82">
        <v>12</v>
      </c>
    </row>
    <row r="250" spans="1:24" outlineLevel="1" x14ac:dyDescent="0.25">
      <c r="A250" s="300"/>
      <c r="B250" s="302"/>
      <c r="C250" s="149" t="s">
        <v>127</v>
      </c>
      <c r="D250" s="128" t="s">
        <v>136</v>
      </c>
      <c r="E250" s="150" t="s">
        <v>4</v>
      </c>
      <c r="F250" s="315"/>
      <c r="G250" s="294"/>
      <c r="H250" s="283"/>
      <c r="I250" s="115">
        <v>4241</v>
      </c>
      <c r="J250" s="107" t="str">
        <f>IF(OR(D250="",D250="-"),"",CONCATENATE("SPT",K250,"/",N250,L250,".",M250))</f>
        <v>SPT103UG1/ZVU1_GGIO1.Alm5</v>
      </c>
      <c r="K250" s="103" t="str">
        <f t="shared" si="69"/>
        <v>103UG1</v>
      </c>
      <c r="L250" s="104" t="str">
        <f t="shared" si="70"/>
        <v>GGIO1</v>
      </c>
      <c r="M250" s="108" t="s">
        <v>45</v>
      </c>
      <c r="N250" s="82" t="str">
        <f t="shared" si="71"/>
        <v>ZVU1_</v>
      </c>
      <c r="S250" s="82">
        <f t="shared" si="67"/>
        <v>146</v>
      </c>
      <c r="T250" s="82" t="str">
        <f t="shared" si="68"/>
        <v>lb_dd146</v>
      </c>
      <c r="X250" s="82">
        <v>13</v>
      </c>
    </row>
    <row r="251" spans="1:24" outlineLevel="1" x14ac:dyDescent="0.25">
      <c r="A251" s="300"/>
      <c r="B251" s="302"/>
      <c r="C251" s="149" t="s">
        <v>128</v>
      </c>
      <c r="D251" s="128" t="s">
        <v>137</v>
      </c>
      <c r="E251" s="150" t="s">
        <v>4</v>
      </c>
      <c r="F251" s="315"/>
      <c r="G251" s="294"/>
      <c r="H251" s="283"/>
      <c r="I251" s="115">
        <v>4242</v>
      </c>
      <c r="J251" s="107" t="str">
        <f>IF(OR(D251="",D251="-"),"",CONCATENATE("SPT",K251,"/",N251,L251,".",M251))</f>
        <v>SPT103UG1/ZVU1_GGIO1.Alm6</v>
      </c>
      <c r="K251" s="103" t="str">
        <f t="shared" si="69"/>
        <v>103UG1</v>
      </c>
      <c r="L251" s="104" t="str">
        <f t="shared" si="70"/>
        <v>GGIO1</v>
      </c>
      <c r="M251" s="108" t="s">
        <v>47</v>
      </c>
      <c r="N251" s="82" t="str">
        <f t="shared" si="71"/>
        <v>ZVU1_</v>
      </c>
      <c r="S251" s="82">
        <f t="shared" si="67"/>
        <v>147</v>
      </c>
      <c r="T251" s="82" t="str">
        <f t="shared" si="68"/>
        <v>lb_dd147</v>
      </c>
      <c r="X251" s="82">
        <v>14</v>
      </c>
    </row>
    <row r="252" spans="1:24" outlineLevel="1" x14ac:dyDescent="0.25">
      <c r="A252" s="300"/>
      <c r="B252" s="302"/>
      <c r="C252" s="149" t="s">
        <v>129</v>
      </c>
      <c r="D252" s="128" t="s">
        <v>138</v>
      </c>
      <c r="E252" s="150" t="s">
        <v>4</v>
      </c>
      <c r="F252" s="315"/>
      <c r="G252" s="294"/>
      <c r="H252" s="283"/>
      <c r="I252" s="115">
        <v>4243</v>
      </c>
      <c r="J252" s="107" t="str">
        <f>IF(OR(D252="",D252="-"),"",CONCATENATE("SPT",K252,"/",N252,L252,".",M252))</f>
        <v>SPT103UG1/ZVU1_GGIO1.Alm7</v>
      </c>
      <c r="K252" s="103" t="str">
        <f t="shared" si="69"/>
        <v>103UG1</v>
      </c>
      <c r="L252" s="104" t="str">
        <f t="shared" si="70"/>
        <v>GGIO1</v>
      </c>
      <c r="M252" s="108" t="s">
        <v>49</v>
      </c>
      <c r="N252" s="82" t="str">
        <f t="shared" si="71"/>
        <v>ZVU1_</v>
      </c>
      <c r="S252" s="82">
        <f t="shared" si="67"/>
        <v>148</v>
      </c>
      <c r="T252" s="82" t="str">
        <f t="shared" si="68"/>
        <v>lb_dd148</v>
      </c>
      <c r="X252" s="82">
        <v>15</v>
      </c>
    </row>
    <row r="253" spans="1:24" outlineLevel="1" x14ac:dyDescent="0.25">
      <c r="A253" s="300"/>
      <c r="B253" s="302"/>
      <c r="C253" s="149" t="s">
        <v>130</v>
      </c>
      <c r="D253" s="86" t="s">
        <v>29</v>
      </c>
      <c r="E253" s="86" t="s">
        <v>29</v>
      </c>
      <c r="F253" s="315"/>
      <c r="G253" s="294"/>
      <c r="H253" s="283"/>
      <c r="I253" s="115">
        <v>4244</v>
      </c>
      <c r="J253" s="107" t="str">
        <f>IF(OR(D253="",D253="-"),"",CONCATENATE("SPT",K253,"/",N253,L253,".",M253))</f>
        <v/>
      </c>
      <c r="K253" s="103" t="str">
        <f t="shared" si="69"/>
        <v>103UG1</v>
      </c>
      <c r="L253" s="104" t="str">
        <f t="shared" si="70"/>
        <v>GGIO1</v>
      </c>
      <c r="N253" s="82" t="str">
        <f t="shared" si="71"/>
        <v>ZVU1_</v>
      </c>
      <c r="S253" s="82">
        <f t="shared" si="67"/>
        <v>149</v>
      </c>
      <c r="T253" s="82" t="str">
        <f t="shared" si="68"/>
        <v>lb_dd149</v>
      </c>
      <c r="X253" s="82">
        <v>16</v>
      </c>
    </row>
    <row r="254" spans="1:24" outlineLevel="1" x14ac:dyDescent="0.25">
      <c r="A254" s="300"/>
      <c r="B254" s="302"/>
      <c r="C254" s="149" t="s">
        <v>131</v>
      </c>
      <c r="D254" s="128" t="s">
        <v>139</v>
      </c>
      <c r="E254" s="150" t="s">
        <v>4</v>
      </c>
      <c r="F254" s="315"/>
      <c r="G254" s="294"/>
      <c r="H254" s="283"/>
      <c r="I254" s="115">
        <v>4245</v>
      </c>
      <c r="J254" s="107" t="str">
        <f>IF(OR(D254="",D254="-"),"",CONCATENATE("SPT",K254,"/",N254,L254,".",M254))</f>
        <v>SPT103UG1/ZVU1_GGIO1.Alm8</v>
      </c>
      <c r="K254" s="103" t="str">
        <f t="shared" si="69"/>
        <v>103UG1</v>
      </c>
      <c r="L254" s="104" t="str">
        <f t="shared" si="70"/>
        <v>GGIO1</v>
      </c>
      <c r="M254" s="108" t="s">
        <v>56</v>
      </c>
      <c r="N254" s="82" t="str">
        <f t="shared" si="71"/>
        <v>ZVU1_</v>
      </c>
      <c r="S254" s="82">
        <f t="shared" si="67"/>
        <v>150</v>
      </c>
      <c r="T254" s="82" t="str">
        <f t="shared" si="68"/>
        <v>lb_dd150</v>
      </c>
      <c r="X254" s="82">
        <v>17</v>
      </c>
    </row>
    <row r="255" spans="1:24" outlineLevel="1" x14ac:dyDescent="0.25">
      <c r="A255" s="300"/>
      <c r="B255" s="302"/>
      <c r="C255" s="149" t="s">
        <v>132</v>
      </c>
      <c r="D255" s="128" t="s">
        <v>140</v>
      </c>
      <c r="E255" s="150" t="s">
        <v>2</v>
      </c>
      <c r="F255" s="315"/>
      <c r="G255" s="294"/>
      <c r="H255" s="283"/>
      <c r="I255" s="115">
        <v>4246</v>
      </c>
      <c r="J255" s="107" t="str">
        <f>IF(OR(D255="",D255="-"),"",CONCATENATE("SPT",K255,"/",N255,L255,".",M255))</f>
        <v>SPT103UG1/ZVU1_GGIO1.Ind9</v>
      </c>
      <c r="K255" s="103" t="str">
        <f t="shared" si="69"/>
        <v>103UG1</v>
      </c>
      <c r="L255" s="104" t="str">
        <f t="shared" si="70"/>
        <v>GGIO1</v>
      </c>
      <c r="M255" s="82" t="s">
        <v>93</v>
      </c>
      <c r="N255" s="82" t="str">
        <f t="shared" si="71"/>
        <v>ZVU1_</v>
      </c>
      <c r="S255" s="82">
        <f t="shared" si="67"/>
        <v>151</v>
      </c>
      <c r="T255" s="82" t="str">
        <f t="shared" si="68"/>
        <v>lb_dd151</v>
      </c>
      <c r="X255" s="82">
        <v>18</v>
      </c>
    </row>
    <row r="256" spans="1:24" outlineLevel="1" x14ac:dyDescent="0.25">
      <c r="A256" s="300"/>
      <c r="B256" s="302"/>
      <c r="C256" s="149" t="s">
        <v>133</v>
      </c>
      <c r="D256" s="128" t="s">
        <v>141</v>
      </c>
      <c r="E256" s="150" t="s">
        <v>2</v>
      </c>
      <c r="F256" s="315"/>
      <c r="G256" s="294"/>
      <c r="H256" s="283"/>
      <c r="I256" s="115">
        <v>4247</v>
      </c>
      <c r="J256" s="107" t="str">
        <f>IF(OR(D256="",D256="-"),"",CONCATENATE("SPT",K256,"/",N256,L256,".",M256))</f>
        <v>SPT103UG1/ZVU1_GGIO1.Ind10</v>
      </c>
      <c r="K256" s="103" t="str">
        <f t="shared" si="69"/>
        <v>103UG1</v>
      </c>
      <c r="L256" s="104" t="str">
        <f t="shared" si="70"/>
        <v>GGIO1</v>
      </c>
      <c r="M256" s="82" t="s">
        <v>94</v>
      </c>
      <c r="N256" s="82" t="str">
        <f t="shared" si="71"/>
        <v>ZVU1_</v>
      </c>
      <c r="S256" s="82">
        <f t="shared" si="67"/>
        <v>152</v>
      </c>
      <c r="T256" s="82" t="str">
        <f t="shared" si="68"/>
        <v>lb_dd152</v>
      </c>
      <c r="X256" s="82">
        <v>19</v>
      </c>
    </row>
    <row r="257" spans="1:24" outlineLevel="1" x14ac:dyDescent="0.25">
      <c r="A257" s="300"/>
      <c r="B257" s="302"/>
      <c r="C257" s="149" t="s">
        <v>134</v>
      </c>
      <c r="D257" s="128" t="s">
        <v>142</v>
      </c>
      <c r="E257" s="150" t="s">
        <v>2</v>
      </c>
      <c r="F257" s="315"/>
      <c r="G257" s="294"/>
      <c r="H257" s="283"/>
      <c r="I257" s="115">
        <v>4248</v>
      </c>
      <c r="J257" s="107" t="str">
        <f>IF(OR(D257="",D257="-"),"",CONCATENATE("SPT",K257,"/",N257,L257,".",M257))</f>
        <v>SPT103UG1/ZVU1_GGIO1.Ind11</v>
      </c>
      <c r="K257" s="103" t="str">
        <f t="shared" si="69"/>
        <v>103UG1</v>
      </c>
      <c r="L257" s="104" t="str">
        <f t="shared" si="70"/>
        <v>GGIO1</v>
      </c>
      <c r="M257" s="82" t="s">
        <v>95</v>
      </c>
      <c r="N257" s="82" t="str">
        <f t="shared" si="71"/>
        <v>ZVU1_</v>
      </c>
      <c r="S257" s="82">
        <f t="shared" si="67"/>
        <v>153</v>
      </c>
      <c r="T257" s="82" t="str">
        <f t="shared" si="68"/>
        <v>lb_dd153</v>
      </c>
      <c r="X257" s="82">
        <v>20</v>
      </c>
    </row>
    <row r="258" spans="1:24" outlineLevel="1" x14ac:dyDescent="0.25">
      <c r="A258" s="300"/>
      <c r="B258" s="302"/>
      <c r="C258" s="149" t="s">
        <v>135</v>
      </c>
      <c r="D258" s="128" t="s">
        <v>143</v>
      </c>
      <c r="E258" s="150" t="s">
        <v>10</v>
      </c>
      <c r="F258" s="315"/>
      <c r="G258" s="294"/>
      <c r="H258" s="283"/>
      <c r="I258" s="115">
        <v>4249</v>
      </c>
      <c r="J258" s="107" t="str">
        <f>IF(OR(D258="",D258="-"),"",CONCATENATE("SPT",K258,"/",N258,L258,".",M258))</f>
        <v>SPT103UG1/ZVU1_GGIO1.Ind12</v>
      </c>
      <c r="K258" s="103" t="str">
        <f t="shared" si="69"/>
        <v>103UG1</v>
      </c>
      <c r="L258" s="104" t="str">
        <f t="shared" si="70"/>
        <v>GGIO1</v>
      </c>
      <c r="M258" s="82" t="s">
        <v>96</v>
      </c>
      <c r="N258" s="82" t="str">
        <f t="shared" si="71"/>
        <v>ZVU1_</v>
      </c>
      <c r="S258" s="82">
        <f t="shared" si="67"/>
        <v>154</v>
      </c>
      <c r="T258" s="82" t="str">
        <f t="shared" si="68"/>
        <v>lb_dd154</v>
      </c>
      <c r="X258" s="82">
        <v>21</v>
      </c>
    </row>
    <row r="259" spans="1:24" outlineLevel="1" x14ac:dyDescent="0.25">
      <c r="A259" s="300"/>
      <c r="B259" s="302"/>
      <c r="C259" s="149" t="s">
        <v>144</v>
      </c>
      <c r="D259" s="128" t="s">
        <v>152</v>
      </c>
      <c r="E259" s="150" t="s">
        <v>4</v>
      </c>
      <c r="F259" s="315"/>
      <c r="G259" s="294"/>
      <c r="H259" s="283"/>
      <c r="I259" s="115">
        <v>4250</v>
      </c>
      <c r="J259" s="107" t="str">
        <f>IF(OR(D259="",D259="-"),"",CONCATENATE("SPT",K259,"/",N259,L259,".",M259))</f>
        <v>SPT103UG1/ZVU1_GGIO1.Alm9</v>
      </c>
      <c r="K259" s="103" t="str">
        <f t="shared" si="69"/>
        <v>103UG1</v>
      </c>
      <c r="L259" s="104" t="str">
        <f t="shared" si="70"/>
        <v>GGIO1</v>
      </c>
      <c r="M259" s="108" t="s">
        <v>217</v>
      </c>
      <c r="N259" s="82" t="str">
        <f t="shared" si="71"/>
        <v>ZVU1_</v>
      </c>
      <c r="S259" s="82">
        <f t="shared" si="67"/>
        <v>155</v>
      </c>
      <c r="T259" s="82" t="str">
        <f t="shared" si="68"/>
        <v>lb_dd155</v>
      </c>
      <c r="X259" s="82">
        <v>22</v>
      </c>
    </row>
    <row r="260" spans="1:24" outlineLevel="1" x14ac:dyDescent="0.25">
      <c r="A260" s="300"/>
      <c r="B260" s="302"/>
      <c r="C260" s="128" t="s">
        <v>145</v>
      </c>
      <c r="D260" s="128" t="s">
        <v>153</v>
      </c>
      <c r="E260" s="150" t="s">
        <v>4</v>
      </c>
      <c r="F260" s="315"/>
      <c r="G260" s="294"/>
      <c r="H260" s="283"/>
      <c r="I260" s="115">
        <v>4251</v>
      </c>
      <c r="J260" s="107" t="str">
        <f>IF(OR(D260="",D260="-"),"",CONCATENATE("SPT",K260,"/",N260,L260,".",M260))</f>
        <v>SPT103UG1/ZVU1_GGIO1.Alm10</v>
      </c>
      <c r="K260" s="103" t="str">
        <f t="shared" si="69"/>
        <v>103UG1</v>
      </c>
      <c r="L260" s="104" t="str">
        <f t="shared" si="70"/>
        <v>GGIO1</v>
      </c>
      <c r="M260" s="108" t="s">
        <v>218</v>
      </c>
      <c r="N260" s="82" t="str">
        <f t="shared" si="71"/>
        <v>ZVU1_</v>
      </c>
      <c r="S260" s="82">
        <f t="shared" si="67"/>
        <v>156</v>
      </c>
      <c r="T260" s="82" t="str">
        <f t="shared" si="68"/>
        <v>lb_dd156</v>
      </c>
      <c r="X260" s="82">
        <v>23</v>
      </c>
    </row>
    <row r="261" spans="1:24" outlineLevel="1" x14ac:dyDescent="0.25">
      <c r="A261" s="300"/>
      <c r="B261" s="302"/>
      <c r="C261" s="128" t="s">
        <v>146</v>
      </c>
      <c r="D261" s="128" t="s">
        <v>154</v>
      </c>
      <c r="E261" s="150" t="s">
        <v>4</v>
      </c>
      <c r="F261" s="315"/>
      <c r="G261" s="294"/>
      <c r="H261" s="283"/>
      <c r="I261" s="115">
        <v>4252</v>
      </c>
      <c r="J261" s="107" t="str">
        <f>IF(OR(D261="",D261="-"),"",CONCATENATE("SPT",K261,"/",N261,L261,".",M261))</f>
        <v>SPT103UG1/ZVU1_GGIO1.Alm11</v>
      </c>
      <c r="K261" s="103" t="str">
        <f t="shared" si="69"/>
        <v>103UG1</v>
      </c>
      <c r="L261" s="104" t="str">
        <f t="shared" si="70"/>
        <v>GGIO1</v>
      </c>
      <c r="M261" s="108" t="s">
        <v>219</v>
      </c>
      <c r="N261" s="82" t="str">
        <f t="shared" si="71"/>
        <v>ZVU1_</v>
      </c>
      <c r="S261" s="82">
        <f t="shared" si="67"/>
        <v>157</v>
      </c>
      <c r="T261" s="82" t="str">
        <f t="shared" si="68"/>
        <v>lb_dd157</v>
      </c>
      <c r="X261" s="82">
        <v>24</v>
      </c>
    </row>
    <row r="262" spans="1:24" outlineLevel="1" x14ac:dyDescent="0.25">
      <c r="A262" s="300"/>
      <c r="B262" s="302"/>
      <c r="C262" s="149" t="s">
        <v>147</v>
      </c>
      <c r="D262" s="128" t="s">
        <v>155</v>
      </c>
      <c r="E262" s="150" t="s">
        <v>4</v>
      </c>
      <c r="F262" s="315"/>
      <c r="G262" s="294"/>
      <c r="H262" s="283"/>
      <c r="I262" s="115">
        <v>4253</v>
      </c>
      <c r="J262" s="107" t="str">
        <f>IF(OR(D262="",D262="-"),"",CONCATENATE("SPT",K262,"/",N262,L262,".",M262))</f>
        <v>SPT103UG1/ZVU1_GGIO1.Alm12</v>
      </c>
      <c r="K262" s="103" t="str">
        <f t="shared" si="69"/>
        <v>103UG1</v>
      </c>
      <c r="L262" s="104" t="str">
        <f t="shared" si="70"/>
        <v>GGIO1</v>
      </c>
      <c r="M262" s="108" t="s">
        <v>220</v>
      </c>
      <c r="N262" s="82" t="str">
        <f t="shared" si="71"/>
        <v>ZVU1_</v>
      </c>
      <c r="S262" s="82">
        <f t="shared" si="67"/>
        <v>158</v>
      </c>
      <c r="T262" s="82" t="str">
        <f t="shared" si="68"/>
        <v>lb_dd158</v>
      </c>
      <c r="X262" s="82">
        <v>25</v>
      </c>
    </row>
    <row r="263" spans="1:24" outlineLevel="1" x14ac:dyDescent="0.25">
      <c r="A263" s="300"/>
      <c r="B263" s="302"/>
      <c r="C263" s="149" t="s">
        <v>148</v>
      </c>
      <c r="D263" s="128" t="s">
        <v>156</v>
      </c>
      <c r="E263" s="150" t="s">
        <v>4</v>
      </c>
      <c r="F263" s="315"/>
      <c r="G263" s="294"/>
      <c r="H263" s="283"/>
      <c r="I263" s="115">
        <v>4254</v>
      </c>
      <c r="J263" s="107" t="str">
        <f>IF(OR(D263="",D263="-"),"",CONCATENATE("SPT",K263,"/",N263,L263,".",M263))</f>
        <v>SPT103UG1/ZVU1_GGIO1.Alm13</v>
      </c>
      <c r="K263" s="103" t="str">
        <f t="shared" si="69"/>
        <v>103UG1</v>
      </c>
      <c r="L263" s="104" t="str">
        <f t="shared" si="70"/>
        <v>GGIO1</v>
      </c>
      <c r="M263" s="108" t="s">
        <v>221</v>
      </c>
      <c r="N263" s="82" t="str">
        <f t="shared" si="71"/>
        <v>ZVU1_</v>
      </c>
      <c r="S263" s="82">
        <f t="shared" si="67"/>
        <v>159</v>
      </c>
      <c r="T263" s="82" t="str">
        <f t="shared" si="68"/>
        <v>lb_dd159</v>
      </c>
      <c r="X263" s="82">
        <v>26</v>
      </c>
    </row>
    <row r="264" spans="1:24" outlineLevel="1" x14ac:dyDescent="0.25">
      <c r="A264" s="300"/>
      <c r="B264" s="302"/>
      <c r="C264" s="149" t="s">
        <v>149</v>
      </c>
      <c r="D264" s="128" t="s">
        <v>157</v>
      </c>
      <c r="E264" s="150" t="s">
        <v>4</v>
      </c>
      <c r="F264" s="315"/>
      <c r="G264" s="294"/>
      <c r="H264" s="283"/>
      <c r="I264" s="115">
        <v>4255</v>
      </c>
      <c r="J264" s="107" t="str">
        <f>IF(OR(D264="",D264="-"),"",CONCATENATE("SPT",K264,"/",N264,L264,".",M264))</f>
        <v>SPT103UG1/ZVU1_GGIO1.Alm14</v>
      </c>
      <c r="K264" s="103" t="str">
        <f t="shared" si="69"/>
        <v>103UG1</v>
      </c>
      <c r="L264" s="104" t="str">
        <f t="shared" si="70"/>
        <v>GGIO1</v>
      </c>
      <c r="M264" s="108" t="s">
        <v>222</v>
      </c>
      <c r="N264" s="82" t="str">
        <f t="shared" si="71"/>
        <v>ZVU1_</v>
      </c>
      <c r="S264" s="82">
        <f t="shared" si="67"/>
        <v>160</v>
      </c>
      <c r="T264" s="82" t="str">
        <f t="shared" si="68"/>
        <v>lb_dd160</v>
      </c>
      <c r="X264" s="82">
        <v>27</v>
      </c>
    </row>
    <row r="265" spans="1:24" outlineLevel="1" x14ac:dyDescent="0.25">
      <c r="A265" s="300"/>
      <c r="B265" s="302"/>
      <c r="C265" s="149" t="s">
        <v>150</v>
      </c>
      <c r="D265" s="128" t="s">
        <v>123</v>
      </c>
      <c r="E265" s="150" t="s">
        <v>4</v>
      </c>
      <c r="F265" s="315"/>
      <c r="G265" s="294"/>
      <c r="H265" s="283"/>
      <c r="I265" s="115">
        <v>4256</v>
      </c>
      <c r="J265" s="107" t="str">
        <f>IF(OR(D265="",D265="-"),"",CONCATENATE("SPT",K265,"/",N265,L265,".",M265))</f>
        <v>SPT103UG1/ZVU1_GGIO1.Alm15</v>
      </c>
      <c r="K265" s="103" t="str">
        <f t="shared" si="69"/>
        <v>103UG1</v>
      </c>
      <c r="L265" s="104" t="str">
        <f t="shared" si="70"/>
        <v>GGIO1</v>
      </c>
      <c r="M265" s="108" t="s">
        <v>223</v>
      </c>
      <c r="N265" s="82" t="str">
        <f t="shared" si="71"/>
        <v>ZVU1_</v>
      </c>
      <c r="S265" s="82">
        <f t="shared" si="67"/>
        <v>161</v>
      </c>
      <c r="T265" s="82" t="str">
        <f t="shared" si="68"/>
        <v>lb_dd161</v>
      </c>
      <c r="X265" s="82">
        <v>28</v>
      </c>
    </row>
    <row r="266" spans="1:24" outlineLevel="1" x14ac:dyDescent="0.25">
      <c r="A266" s="300"/>
      <c r="B266" s="302"/>
      <c r="C266" s="149" t="s">
        <v>151</v>
      </c>
      <c r="D266" s="128" t="s">
        <v>158</v>
      </c>
      <c r="E266" s="150" t="s">
        <v>4</v>
      </c>
      <c r="F266" s="315"/>
      <c r="G266" s="294"/>
      <c r="H266" s="283"/>
      <c r="I266" s="115">
        <v>4257</v>
      </c>
      <c r="J266" s="107" t="str">
        <f>IF(OR(D266="",D266="-"),"",CONCATENATE("SPT",K266,"/",N266,L266,".",M266))</f>
        <v>SPT103UG1/ZVU1_GGIO1.Alm16</v>
      </c>
      <c r="K266" s="103" t="str">
        <f t="shared" si="69"/>
        <v>103UG1</v>
      </c>
      <c r="L266" s="104" t="str">
        <f t="shared" si="70"/>
        <v>GGIO1</v>
      </c>
      <c r="M266" s="108" t="s">
        <v>224</v>
      </c>
      <c r="N266" s="82" t="str">
        <f t="shared" si="71"/>
        <v>ZVU1_</v>
      </c>
      <c r="S266" s="82">
        <f t="shared" si="67"/>
        <v>162</v>
      </c>
      <c r="T266" s="82" t="str">
        <f t="shared" si="68"/>
        <v>lb_dd162</v>
      </c>
      <c r="X266" s="82">
        <v>29</v>
      </c>
    </row>
    <row r="267" spans="1:24" outlineLevel="1" x14ac:dyDescent="0.25">
      <c r="A267" s="300"/>
      <c r="B267" s="302"/>
      <c r="C267" s="149" t="s">
        <v>159</v>
      </c>
      <c r="D267" s="128" t="s">
        <v>170</v>
      </c>
      <c r="E267" s="150" t="s">
        <v>4</v>
      </c>
      <c r="F267" s="315"/>
      <c r="G267" s="294"/>
      <c r="H267" s="283"/>
      <c r="I267" s="115">
        <v>4258</v>
      </c>
      <c r="J267" s="107" t="str">
        <f>IF(OR(D267="",D267="-"),"",CONCATENATE("SPT",K267,"/",N267,L267,".",M267))</f>
        <v>SPT103UG1/ZVU1_GGIO1.Alm17</v>
      </c>
      <c r="K267" s="103" t="str">
        <f t="shared" si="69"/>
        <v>103UG1</v>
      </c>
      <c r="L267" s="104" t="str">
        <f t="shared" si="70"/>
        <v>GGIO1</v>
      </c>
      <c r="M267" s="108" t="s">
        <v>225</v>
      </c>
      <c r="N267" s="82" t="str">
        <f t="shared" si="71"/>
        <v>ZVU1_</v>
      </c>
      <c r="S267" s="82">
        <f t="shared" si="67"/>
        <v>163</v>
      </c>
      <c r="T267" s="82" t="str">
        <f t="shared" si="68"/>
        <v>lb_dd163</v>
      </c>
      <c r="X267" s="82">
        <v>30</v>
      </c>
    </row>
    <row r="268" spans="1:24" outlineLevel="1" x14ac:dyDescent="0.25">
      <c r="A268" s="300"/>
      <c r="B268" s="302"/>
      <c r="C268" s="128" t="s">
        <v>160</v>
      </c>
      <c r="D268" s="128" t="s">
        <v>171</v>
      </c>
      <c r="E268" s="150" t="s">
        <v>4</v>
      </c>
      <c r="F268" s="315"/>
      <c r="G268" s="294"/>
      <c r="H268" s="283"/>
      <c r="I268" s="115">
        <v>4259</v>
      </c>
      <c r="J268" s="107" t="str">
        <f>IF(OR(D268="",D268="-"),"",CONCATENATE("SPT",K268,"/",N268,L268,".",M268))</f>
        <v>SPT103UG1/ZVU1_GGIO1.Alm18</v>
      </c>
      <c r="K268" s="103" t="str">
        <f t="shared" si="69"/>
        <v>103UG1</v>
      </c>
      <c r="L268" s="104" t="str">
        <f t="shared" si="70"/>
        <v>GGIO1</v>
      </c>
      <c r="M268" s="108" t="s">
        <v>226</v>
      </c>
      <c r="N268" s="82" t="str">
        <f t="shared" si="71"/>
        <v>ZVU1_</v>
      </c>
      <c r="S268" s="82">
        <f t="shared" si="67"/>
        <v>164</v>
      </c>
      <c r="T268" s="82" t="str">
        <f t="shared" si="68"/>
        <v>lb_dd164</v>
      </c>
      <c r="X268" s="82">
        <v>31</v>
      </c>
    </row>
    <row r="269" spans="1:24" outlineLevel="1" x14ac:dyDescent="0.25">
      <c r="A269" s="300"/>
      <c r="B269" s="302"/>
      <c r="C269" s="128" t="s">
        <v>161</v>
      </c>
      <c r="D269" s="128" t="s">
        <v>172</v>
      </c>
      <c r="E269" s="150" t="s">
        <v>4</v>
      </c>
      <c r="F269" s="315"/>
      <c r="G269" s="294"/>
      <c r="H269" s="283"/>
      <c r="I269" s="115">
        <v>4260</v>
      </c>
      <c r="J269" s="107" t="str">
        <f>IF(OR(D269="",D269="-"),"",CONCATENATE("SPT",K269,"/",N269,L269,".",M269))</f>
        <v>SPT103UG1/ZVU1_GGIO1.Alm19</v>
      </c>
      <c r="K269" s="103" t="str">
        <f t="shared" si="69"/>
        <v>103UG1</v>
      </c>
      <c r="L269" s="104" t="str">
        <f t="shared" si="70"/>
        <v>GGIO1</v>
      </c>
      <c r="M269" s="108" t="s">
        <v>227</v>
      </c>
      <c r="N269" s="82" t="str">
        <f t="shared" si="71"/>
        <v>ZVU1_</v>
      </c>
      <c r="S269" s="82">
        <f t="shared" si="67"/>
        <v>165</v>
      </c>
      <c r="T269" s="82" t="str">
        <f t="shared" si="68"/>
        <v>lb_dd165</v>
      </c>
      <c r="X269" s="82">
        <v>32</v>
      </c>
    </row>
    <row r="270" spans="1:24" outlineLevel="1" x14ac:dyDescent="0.25">
      <c r="A270" s="300"/>
      <c r="B270" s="302"/>
      <c r="C270" s="149" t="s">
        <v>162</v>
      </c>
      <c r="D270" s="128" t="s">
        <v>173</v>
      </c>
      <c r="E270" s="150" t="s">
        <v>4</v>
      </c>
      <c r="F270" s="315"/>
      <c r="G270" s="294"/>
      <c r="H270" s="283"/>
      <c r="I270" s="115">
        <v>4261</v>
      </c>
      <c r="J270" s="107" t="str">
        <f>IF(OR(D270="",D270="-"),"",CONCATENATE("SPT",K270,"/",N270,L270,".",M270))</f>
        <v>SPT103UG1/ZVU1_GGIO1.Alm20</v>
      </c>
      <c r="K270" s="103" t="str">
        <f t="shared" si="69"/>
        <v>103UG1</v>
      </c>
      <c r="L270" s="104" t="str">
        <f t="shared" si="70"/>
        <v>GGIO1</v>
      </c>
      <c r="M270" s="108" t="s">
        <v>228</v>
      </c>
      <c r="N270" s="82" t="str">
        <f t="shared" si="71"/>
        <v>ZVU1_</v>
      </c>
      <c r="S270" s="82">
        <f t="shared" si="67"/>
        <v>166</v>
      </c>
      <c r="T270" s="82" t="str">
        <f t="shared" si="68"/>
        <v>lb_dd166</v>
      </c>
      <c r="X270" s="82">
        <v>33</v>
      </c>
    </row>
    <row r="271" spans="1:24" outlineLevel="1" x14ac:dyDescent="0.25">
      <c r="A271" s="300"/>
      <c r="B271" s="302"/>
      <c r="C271" s="149" t="s">
        <v>163</v>
      </c>
      <c r="D271" s="128" t="s">
        <v>174</v>
      </c>
      <c r="E271" s="150" t="s">
        <v>4</v>
      </c>
      <c r="F271" s="315"/>
      <c r="G271" s="294"/>
      <c r="H271" s="283"/>
      <c r="I271" s="115">
        <v>4262</v>
      </c>
      <c r="J271" s="107" t="str">
        <f>IF(OR(D271="",D271="-"),"",CONCATENATE("SPT",K271,"/",N271,L271,".",M271))</f>
        <v>SPT103UG1/ZVU1_GGIO1.Alm21</v>
      </c>
      <c r="K271" s="103" t="str">
        <f t="shared" si="69"/>
        <v>103UG1</v>
      </c>
      <c r="L271" s="104" t="str">
        <f t="shared" si="70"/>
        <v>GGIO1</v>
      </c>
      <c r="M271" s="108" t="s">
        <v>229</v>
      </c>
      <c r="N271" s="82" t="str">
        <f t="shared" si="71"/>
        <v>ZVU1_</v>
      </c>
      <c r="S271" s="82">
        <f t="shared" si="67"/>
        <v>167</v>
      </c>
      <c r="T271" s="82" t="str">
        <f t="shared" si="68"/>
        <v>lb_dd167</v>
      </c>
      <c r="X271" s="82">
        <v>34</v>
      </c>
    </row>
    <row r="272" spans="1:24" outlineLevel="1" x14ac:dyDescent="0.25">
      <c r="A272" s="300"/>
      <c r="B272" s="302"/>
      <c r="C272" s="149" t="s">
        <v>164</v>
      </c>
      <c r="D272" s="128" t="s">
        <v>175</v>
      </c>
      <c r="E272" s="150" t="s">
        <v>4</v>
      </c>
      <c r="F272" s="315"/>
      <c r="G272" s="294"/>
      <c r="H272" s="283"/>
      <c r="I272" s="115">
        <v>4263</v>
      </c>
      <c r="J272" s="107" t="str">
        <f>IF(OR(D272="",D272="-"),"",CONCATENATE("SPT",K272,"/",N272,L272,".",M272))</f>
        <v>SPT103UG1/ZVU1_GGIO1.Alm22</v>
      </c>
      <c r="K272" s="103" t="str">
        <f t="shared" si="69"/>
        <v>103UG1</v>
      </c>
      <c r="L272" s="104" t="str">
        <f t="shared" si="70"/>
        <v>GGIO1</v>
      </c>
      <c r="M272" s="108" t="s">
        <v>230</v>
      </c>
      <c r="N272" s="82" t="str">
        <f t="shared" si="71"/>
        <v>ZVU1_</v>
      </c>
      <c r="S272" s="82">
        <f t="shared" si="67"/>
        <v>168</v>
      </c>
      <c r="T272" s="82" t="str">
        <f t="shared" si="68"/>
        <v>lb_dd168</v>
      </c>
      <c r="X272" s="82">
        <v>35</v>
      </c>
    </row>
    <row r="273" spans="1:24" outlineLevel="1" x14ac:dyDescent="0.25">
      <c r="A273" s="300"/>
      <c r="B273" s="302"/>
      <c r="C273" s="149" t="s">
        <v>76</v>
      </c>
      <c r="D273" s="128" t="s">
        <v>138</v>
      </c>
      <c r="E273" s="150" t="s">
        <v>4</v>
      </c>
      <c r="F273" s="315"/>
      <c r="G273" s="294"/>
      <c r="H273" s="283"/>
      <c r="I273" s="115">
        <v>4264</v>
      </c>
      <c r="J273" s="107" t="str">
        <f>IF(OR(D273="",D273="-"),"",CONCATENATE("SPT",K273,"/",N273,L273,".",M273))</f>
        <v>SPT103UG1/ZVU1_GGIO1.Alm23</v>
      </c>
      <c r="K273" s="103" t="str">
        <f t="shared" si="69"/>
        <v>103UG1</v>
      </c>
      <c r="L273" s="104" t="str">
        <f t="shared" si="70"/>
        <v>GGIO1</v>
      </c>
      <c r="M273" s="108" t="s">
        <v>231</v>
      </c>
      <c r="N273" s="82" t="str">
        <f t="shared" si="71"/>
        <v>ZVU1_</v>
      </c>
      <c r="S273" s="82">
        <f t="shared" si="67"/>
        <v>169</v>
      </c>
      <c r="T273" s="82" t="str">
        <f t="shared" si="68"/>
        <v>lb_dd169</v>
      </c>
      <c r="X273" s="82">
        <v>36</v>
      </c>
    </row>
    <row r="274" spans="1:24" outlineLevel="1" x14ac:dyDescent="0.25">
      <c r="A274" s="300"/>
      <c r="B274" s="302"/>
      <c r="C274" s="149" t="s">
        <v>165</v>
      </c>
      <c r="D274" s="128" t="s">
        <v>176</v>
      </c>
      <c r="E274" s="150" t="s">
        <v>4</v>
      </c>
      <c r="F274" s="315"/>
      <c r="G274" s="294"/>
      <c r="H274" s="283"/>
      <c r="I274" s="115">
        <v>4265</v>
      </c>
      <c r="J274" s="107" t="str">
        <f>IF(OR(D274="",D274="-"),"",CONCATENATE("SPT",K274,"/",N274,L274,".",M274))</f>
        <v>SPT103UG1/ZVU1_GGIO1.Alm24</v>
      </c>
      <c r="K274" s="103" t="str">
        <f t="shared" si="69"/>
        <v>103UG1</v>
      </c>
      <c r="L274" s="104" t="str">
        <f t="shared" si="70"/>
        <v>GGIO1</v>
      </c>
      <c r="M274" s="108" t="s">
        <v>232</v>
      </c>
      <c r="N274" s="82" t="str">
        <f t="shared" si="71"/>
        <v>ZVU1_</v>
      </c>
      <c r="S274" s="82">
        <f t="shared" si="67"/>
        <v>170</v>
      </c>
      <c r="T274" s="82" t="str">
        <f t="shared" si="68"/>
        <v>lb_dd170</v>
      </c>
      <c r="X274" s="82">
        <v>37</v>
      </c>
    </row>
    <row r="275" spans="1:24" outlineLevel="1" x14ac:dyDescent="0.25">
      <c r="A275" s="300"/>
      <c r="B275" s="302"/>
      <c r="C275" s="149" t="s">
        <v>166</v>
      </c>
      <c r="D275" s="128" t="s">
        <v>177</v>
      </c>
      <c r="E275" s="150" t="s">
        <v>4</v>
      </c>
      <c r="F275" s="315"/>
      <c r="G275" s="294"/>
      <c r="H275" s="283"/>
      <c r="I275" s="115">
        <v>4266</v>
      </c>
      <c r="J275" s="107" t="str">
        <f>IF(OR(D275="",D275="-"),"",CONCATENATE("SPT",K275,"/",N275,L275,".",M275))</f>
        <v>SPT103UG1/ZVU1_GGIO1.Alm25</v>
      </c>
      <c r="K275" s="103" t="str">
        <f t="shared" si="69"/>
        <v>103UG1</v>
      </c>
      <c r="L275" s="104" t="str">
        <f t="shared" si="70"/>
        <v>GGIO1</v>
      </c>
      <c r="M275" s="108" t="s">
        <v>233</v>
      </c>
      <c r="N275" s="82" t="str">
        <f t="shared" si="71"/>
        <v>ZVU1_</v>
      </c>
      <c r="S275" s="82">
        <f t="shared" si="67"/>
        <v>171</v>
      </c>
      <c r="T275" s="82" t="str">
        <f t="shared" si="68"/>
        <v>lb_dd171</v>
      </c>
      <c r="X275" s="82">
        <v>38</v>
      </c>
    </row>
    <row r="276" spans="1:24" outlineLevel="1" x14ac:dyDescent="0.25">
      <c r="A276" s="300"/>
      <c r="B276" s="302"/>
      <c r="C276" s="149" t="s">
        <v>167</v>
      </c>
      <c r="D276" s="128" t="s">
        <v>125</v>
      </c>
      <c r="E276" s="150" t="s">
        <v>4</v>
      </c>
      <c r="F276" s="315"/>
      <c r="G276" s="294"/>
      <c r="H276" s="283"/>
      <c r="I276" s="115">
        <v>4267</v>
      </c>
      <c r="J276" s="107" t="str">
        <f>IF(OR(D276="",D276="-"),"",CONCATENATE("SPT",K276,"/",N276,L276,".",M276))</f>
        <v>SPT103UG1/ZVU1_GGIO1.Alm26</v>
      </c>
      <c r="K276" s="103" t="str">
        <f t="shared" si="69"/>
        <v>103UG1</v>
      </c>
      <c r="L276" s="104" t="str">
        <f t="shared" si="70"/>
        <v>GGIO1</v>
      </c>
      <c r="M276" s="108" t="s">
        <v>234</v>
      </c>
      <c r="N276" s="82" t="str">
        <f t="shared" si="71"/>
        <v>ZVU1_</v>
      </c>
      <c r="S276" s="82">
        <f t="shared" si="67"/>
        <v>172</v>
      </c>
      <c r="T276" s="82" t="str">
        <f t="shared" si="68"/>
        <v>lb_dd172</v>
      </c>
      <c r="X276" s="82">
        <v>39</v>
      </c>
    </row>
    <row r="277" spans="1:24" outlineLevel="1" x14ac:dyDescent="0.25">
      <c r="A277" s="300"/>
      <c r="B277" s="302"/>
      <c r="C277" s="149" t="s">
        <v>168</v>
      </c>
      <c r="D277" s="128" t="s">
        <v>178</v>
      </c>
      <c r="E277" s="150" t="s">
        <v>4</v>
      </c>
      <c r="F277" s="315"/>
      <c r="G277" s="294"/>
      <c r="H277" s="283"/>
      <c r="I277" s="115">
        <v>4268</v>
      </c>
      <c r="J277" s="107" t="str">
        <f>IF(OR(D277="",D277="-"),"",CONCATENATE("SPT",K277,"/",N277,L277,".",M277))</f>
        <v>SPT103UG1/ZVU1_GGIO1.Alm27</v>
      </c>
      <c r="K277" s="103" t="str">
        <f t="shared" si="69"/>
        <v>103UG1</v>
      </c>
      <c r="L277" s="104" t="str">
        <f t="shared" si="70"/>
        <v>GGIO1</v>
      </c>
      <c r="M277" s="108" t="s">
        <v>235</v>
      </c>
      <c r="N277" s="82" t="str">
        <f t="shared" si="71"/>
        <v>ZVU1_</v>
      </c>
      <c r="S277" s="82">
        <f t="shared" si="67"/>
        <v>173</v>
      </c>
      <c r="T277" s="82" t="str">
        <f t="shared" si="68"/>
        <v>lb_dd173</v>
      </c>
      <c r="X277" s="82">
        <v>40</v>
      </c>
    </row>
    <row r="278" spans="1:24" outlineLevel="1" x14ac:dyDescent="0.25">
      <c r="A278" s="300"/>
      <c r="B278" s="302"/>
      <c r="C278" s="149" t="s">
        <v>169</v>
      </c>
      <c r="D278" s="128" t="s">
        <v>179</v>
      </c>
      <c r="E278" s="150" t="s">
        <v>4</v>
      </c>
      <c r="F278" s="315"/>
      <c r="G278" s="294"/>
      <c r="H278" s="283"/>
      <c r="I278" s="115">
        <v>4269</v>
      </c>
      <c r="J278" s="107" t="str">
        <f>IF(OR(D278="",D278="-"),"",CONCATENATE("SPT",K278,"/",N278,L278,".",M278))</f>
        <v>SPT103UG1/ZVU1_GGIO1.Alm28</v>
      </c>
      <c r="K278" s="103" t="str">
        <f t="shared" si="69"/>
        <v>103UG1</v>
      </c>
      <c r="L278" s="104" t="str">
        <f t="shared" si="70"/>
        <v>GGIO1</v>
      </c>
      <c r="M278" s="108" t="s">
        <v>236</v>
      </c>
      <c r="N278" s="82" t="str">
        <f t="shared" si="71"/>
        <v>ZVU1_</v>
      </c>
      <c r="S278" s="82">
        <f t="shared" si="67"/>
        <v>174</v>
      </c>
      <c r="T278" s="82" t="str">
        <f t="shared" si="68"/>
        <v>lb_dd174</v>
      </c>
      <c r="X278" s="82">
        <v>41</v>
      </c>
    </row>
    <row r="279" spans="1:24" outlineLevel="1" x14ac:dyDescent="0.25">
      <c r="A279" s="300"/>
      <c r="B279" s="302"/>
      <c r="C279" s="149" t="s">
        <v>182</v>
      </c>
      <c r="D279" s="128" t="s">
        <v>180</v>
      </c>
      <c r="E279" s="150" t="s">
        <v>4</v>
      </c>
      <c r="F279" s="315"/>
      <c r="G279" s="294"/>
      <c r="H279" s="283"/>
      <c r="I279" s="115">
        <v>4270</v>
      </c>
      <c r="J279" s="107" t="str">
        <f>IF(OR(D279="",D279="-"),"",CONCATENATE("SPT",K279,"/",N279,L279,".",M279))</f>
        <v>SPT103UG1/ZVU1_GGIO1.Alm29</v>
      </c>
      <c r="K279" s="103" t="str">
        <f t="shared" si="69"/>
        <v>103UG1</v>
      </c>
      <c r="L279" s="104" t="str">
        <f t="shared" si="70"/>
        <v>GGIO1</v>
      </c>
      <c r="M279" s="108" t="s">
        <v>237</v>
      </c>
      <c r="N279" s="82" t="str">
        <f t="shared" si="71"/>
        <v>ZVU1_</v>
      </c>
      <c r="S279" s="82">
        <f t="shared" si="67"/>
        <v>175</v>
      </c>
      <c r="T279" s="82" t="str">
        <f t="shared" si="68"/>
        <v>lb_dd175</v>
      </c>
      <c r="X279" s="82">
        <v>42</v>
      </c>
    </row>
    <row r="280" spans="1:24" outlineLevel="1" x14ac:dyDescent="0.25">
      <c r="A280" s="300"/>
      <c r="B280" s="302"/>
      <c r="C280" s="128" t="s">
        <v>183</v>
      </c>
      <c r="D280" s="128" t="s">
        <v>181</v>
      </c>
      <c r="E280" s="150" t="s">
        <v>4</v>
      </c>
      <c r="F280" s="315"/>
      <c r="G280" s="294"/>
      <c r="H280" s="283"/>
      <c r="I280" s="115">
        <v>4271</v>
      </c>
      <c r="J280" s="107" t="str">
        <f>IF(OR(D280="",D280="-"),"",CONCATENATE("SPT",K280,"/",N280,L280,".",M280))</f>
        <v>SPT103UG1/ZVU1_GGIO1.Alm30</v>
      </c>
      <c r="K280" s="103" t="str">
        <f t="shared" si="69"/>
        <v>103UG1</v>
      </c>
      <c r="L280" s="104" t="str">
        <f t="shared" si="70"/>
        <v>GGIO1</v>
      </c>
      <c r="M280" s="108" t="s">
        <v>238</v>
      </c>
      <c r="N280" s="82" t="str">
        <f t="shared" si="71"/>
        <v>ZVU1_</v>
      </c>
      <c r="S280" s="82">
        <f t="shared" si="67"/>
        <v>176</v>
      </c>
      <c r="T280" s="82" t="str">
        <f t="shared" si="68"/>
        <v>lb_dd176</v>
      </c>
      <c r="X280" s="82">
        <v>43</v>
      </c>
    </row>
    <row r="281" spans="1:24" outlineLevel="1" x14ac:dyDescent="0.25">
      <c r="A281" s="300"/>
      <c r="B281" s="302"/>
      <c r="C281" s="149" t="s">
        <v>191</v>
      </c>
      <c r="D281" s="128" t="s">
        <v>184</v>
      </c>
      <c r="E281" s="150" t="s">
        <v>190</v>
      </c>
      <c r="F281" s="315"/>
      <c r="G281" s="294"/>
      <c r="H281" s="283"/>
      <c r="I281" s="115">
        <v>4272</v>
      </c>
      <c r="J281" s="107" t="str">
        <f>IF(OR(D281="",D281="-"),"",CONCATENATE("SPT",K281,"/",N281,L281,".",M281))</f>
        <v>SPT103UG1/ZVU1_GGIO1.Ind13</v>
      </c>
      <c r="K281" s="103" t="str">
        <f t="shared" si="69"/>
        <v>103UG1</v>
      </c>
      <c r="L281" s="104" t="str">
        <f t="shared" si="70"/>
        <v>GGIO1</v>
      </c>
      <c r="M281" s="82" t="s">
        <v>97</v>
      </c>
      <c r="N281" s="82" t="str">
        <f t="shared" si="71"/>
        <v>ZVU1_</v>
      </c>
      <c r="S281" s="82">
        <f t="shared" si="67"/>
        <v>177</v>
      </c>
      <c r="T281" s="82" t="str">
        <f t="shared" si="68"/>
        <v>lb_dd177</v>
      </c>
      <c r="X281" s="82">
        <v>44</v>
      </c>
    </row>
    <row r="282" spans="1:24" outlineLevel="1" x14ac:dyDescent="0.25">
      <c r="A282" s="300"/>
      <c r="B282" s="302"/>
      <c r="C282" s="128" t="s">
        <v>192</v>
      </c>
      <c r="D282" s="128" t="s">
        <v>185</v>
      </c>
      <c r="E282" s="150" t="s">
        <v>197</v>
      </c>
      <c r="F282" s="315"/>
      <c r="G282" s="294"/>
      <c r="H282" s="283"/>
      <c r="I282" s="115">
        <v>4273</v>
      </c>
      <c r="J282" s="107" t="str">
        <f>IF(OR(D282="",D282="-"),"",CONCATENATE("SPT",K282,"/",N282,L282,".",M282))</f>
        <v>SPT103UG1/ZVU1_GGIO1.Ind14</v>
      </c>
      <c r="K282" s="103" t="str">
        <f t="shared" si="69"/>
        <v>103UG1</v>
      </c>
      <c r="L282" s="104" t="str">
        <f t="shared" si="70"/>
        <v>GGIO1</v>
      </c>
      <c r="M282" s="82" t="s">
        <v>98</v>
      </c>
      <c r="N282" s="82" t="str">
        <f t="shared" si="71"/>
        <v>ZVU1_</v>
      </c>
      <c r="S282" s="82">
        <f t="shared" si="67"/>
        <v>178</v>
      </c>
      <c r="T282" s="82" t="str">
        <f t="shared" si="68"/>
        <v>lb_dd178</v>
      </c>
      <c r="X282" s="82">
        <v>45</v>
      </c>
    </row>
    <row r="283" spans="1:24" outlineLevel="1" x14ac:dyDescent="0.25">
      <c r="A283" s="300"/>
      <c r="B283" s="302"/>
      <c r="C283" s="128" t="s">
        <v>193</v>
      </c>
      <c r="D283" s="128" t="s">
        <v>186</v>
      </c>
      <c r="E283" s="150" t="s">
        <v>10</v>
      </c>
      <c r="F283" s="315"/>
      <c r="G283" s="294"/>
      <c r="H283" s="283"/>
      <c r="I283" s="115">
        <v>4274</v>
      </c>
      <c r="J283" s="107" t="str">
        <f>IF(OR(D283="",D283="-"),"",CONCATENATE("SPT",K283,"/",N283,L283,".",M283))</f>
        <v>SPT103UG1/ZVU1_GGIO1.Ind15</v>
      </c>
      <c r="K283" s="103" t="str">
        <f t="shared" si="69"/>
        <v>103UG1</v>
      </c>
      <c r="L283" s="104" t="str">
        <f t="shared" si="70"/>
        <v>GGIO1</v>
      </c>
      <c r="M283" s="82" t="s">
        <v>99</v>
      </c>
      <c r="N283" s="82" t="str">
        <f t="shared" si="71"/>
        <v>ZVU1_</v>
      </c>
      <c r="S283" s="82">
        <f t="shared" si="67"/>
        <v>179</v>
      </c>
      <c r="T283" s="82" t="str">
        <f t="shared" si="68"/>
        <v>lb_dd179</v>
      </c>
      <c r="X283" s="82">
        <v>46</v>
      </c>
    </row>
    <row r="284" spans="1:24" outlineLevel="1" x14ac:dyDescent="0.25">
      <c r="A284" s="300"/>
      <c r="B284" s="302"/>
      <c r="C284" s="149" t="s">
        <v>194</v>
      </c>
      <c r="D284" s="128" t="s">
        <v>187</v>
      </c>
      <c r="E284" s="150" t="s">
        <v>10</v>
      </c>
      <c r="F284" s="315"/>
      <c r="G284" s="294"/>
      <c r="H284" s="283"/>
      <c r="I284" s="115">
        <v>4275</v>
      </c>
      <c r="J284" s="107" t="str">
        <f>IF(OR(D284="",D284="-"),"",CONCATENATE("SPT",K284,"/",N284,L284,".",M284))</f>
        <v>SPT103UG1/ZVU1_GGIO1.Ind16</v>
      </c>
      <c r="K284" s="103" t="str">
        <f t="shared" si="69"/>
        <v>103UG1</v>
      </c>
      <c r="L284" s="104" t="str">
        <f t="shared" si="70"/>
        <v>GGIO1</v>
      </c>
      <c r="M284" s="82" t="s">
        <v>100</v>
      </c>
      <c r="N284" s="82" t="str">
        <f t="shared" si="71"/>
        <v>ZVU1_</v>
      </c>
      <c r="S284" s="82">
        <f t="shared" si="67"/>
        <v>180</v>
      </c>
      <c r="T284" s="82" t="str">
        <f t="shared" si="68"/>
        <v>lb_dd180</v>
      </c>
      <c r="X284" s="82">
        <v>47</v>
      </c>
    </row>
    <row r="285" spans="1:24" outlineLevel="1" x14ac:dyDescent="0.25">
      <c r="A285" s="300"/>
      <c r="B285" s="302"/>
      <c r="C285" s="149" t="s">
        <v>195</v>
      </c>
      <c r="D285" s="128" t="s">
        <v>188</v>
      </c>
      <c r="E285" s="150" t="s">
        <v>10</v>
      </c>
      <c r="F285" s="315"/>
      <c r="G285" s="294"/>
      <c r="H285" s="283"/>
      <c r="I285" s="115">
        <v>4276</v>
      </c>
      <c r="J285" s="107" t="str">
        <f>IF(OR(D285="",D285="-"),"",CONCATENATE("SPT",K285,"/",N285,L285,".",M285))</f>
        <v>SPT103UG1/ZVU1_GGIO1.Ind17</v>
      </c>
      <c r="K285" s="103" t="str">
        <f t="shared" si="69"/>
        <v>103UG1</v>
      </c>
      <c r="L285" s="104" t="str">
        <f t="shared" si="70"/>
        <v>GGIO1</v>
      </c>
      <c r="M285" s="82" t="s">
        <v>101</v>
      </c>
      <c r="N285" s="82" t="str">
        <f t="shared" si="71"/>
        <v>ZVU1_</v>
      </c>
      <c r="S285" s="82">
        <f t="shared" si="67"/>
        <v>181</v>
      </c>
      <c r="T285" s="82" t="str">
        <f t="shared" si="68"/>
        <v>lb_dd181</v>
      </c>
      <c r="X285" s="82">
        <v>48</v>
      </c>
    </row>
    <row r="286" spans="1:24" outlineLevel="1" x14ac:dyDescent="0.25">
      <c r="A286" s="300"/>
      <c r="B286" s="302"/>
      <c r="C286" s="149" t="s">
        <v>196</v>
      </c>
      <c r="D286" s="128" t="s">
        <v>189</v>
      </c>
      <c r="E286" s="150" t="s">
        <v>10</v>
      </c>
      <c r="F286" s="315"/>
      <c r="G286" s="294"/>
      <c r="H286" s="283"/>
      <c r="I286" s="115">
        <v>4277</v>
      </c>
      <c r="J286" s="107" t="str">
        <f>IF(OR(D286="",D286="-"),"",CONCATENATE("SPT",K286,"/",N286,L286,".",M286))</f>
        <v>SPT103UG1/ZVU1_GGIO1.Ind18</v>
      </c>
      <c r="K286" s="103" t="str">
        <f t="shared" si="69"/>
        <v>103UG1</v>
      </c>
      <c r="L286" s="104" t="str">
        <f t="shared" si="70"/>
        <v>GGIO1</v>
      </c>
      <c r="M286" s="82" t="s">
        <v>102</v>
      </c>
      <c r="N286" s="82" t="str">
        <f t="shared" si="71"/>
        <v>ZVU1_</v>
      </c>
      <c r="S286" s="82">
        <f t="shared" si="67"/>
        <v>182</v>
      </c>
      <c r="T286" s="82" t="str">
        <f t="shared" si="68"/>
        <v>lb_dd182</v>
      </c>
      <c r="X286" s="82">
        <v>49</v>
      </c>
    </row>
    <row r="287" spans="1:24" outlineLevel="1" x14ac:dyDescent="0.25">
      <c r="A287" s="300"/>
      <c r="B287" s="302"/>
      <c r="C287" s="128" t="s">
        <v>198</v>
      </c>
      <c r="D287" s="128" t="s">
        <v>136</v>
      </c>
      <c r="E287" s="150" t="s">
        <v>4</v>
      </c>
      <c r="F287" s="316"/>
      <c r="G287" s="294"/>
      <c r="H287" s="284"/>
      <c r="I287" s="115">
        <v>4278</v>
      </c>
      <c r="J287" s="107" t="str">
        <f>IF(OR(D287="",D287="-"),"",CONCATENATE("SPT",K287,"/",N287,L287,".",M287))</f>
        <v>SPT103UG1/ZVU1_GGIO1.Alm31</v>
      </c>
      <c r="K287" s="103" t="str">
        <f t="shared" si="69"/>
        <v>103UG1</v>
      </c>
      <c r="L287" s="104" t="str">
        <f t="shared" si="70"/>
        <v>GGIO1</v>
      </c>
      <c r="M287" s="108" t="s">
        <v>243</v>
      </c>
      <c r="N287" s="82" t="str">
        <f t="shared" si="71"/>
        <v>ZVU1_</v>
      </c>
      <c r="S287" s="82">
        <f t="shared" si="67"/>
        <v>183</v>
      </c>
      <c r="T287" s="82" t="str">
        <f t="shared" si="68"/>
        <v>lb_dd183</v>
      </c>
      <c r="X287" s="82">
        <v>50</v>
      </c>
    </row>
    <row r="288" spans="1:24" outlineLevel="1" x14ac:dyDescent="0.25">
      <c r="A288" s="300"/>
      <c r="B288" s="302"/>
      <c r="C288" s="149">
        <v>26</v>
      </c>
      <c r="D288" s="136" t="s">
        <v>199</v>
      </c>
      <c r="E288" s="129" t="s">
        <v>35</v>
      </c>
      <c r="F288" s="314" t="s">
        <v>30</v>
      </c>
      <c r="G288" s="294"/>
      <c r="H288" s="285" t="s">
        <v>59</v>
      </c>
      <c r="I288" s="115">
        <v>8788</v>
      </c>
      <c r="J288" s="107" t="str">
        <f>IF(OR(D288="",D288="-"),"",CONCATENATE("SPT021",K288,"/",L288,".",M288))</f>
        <v>SPT021103UG1/Ut2_MMXN1.Vol</v>
      </c>
      <c r="K288" s="103" t="str">
        <f t="shared" si="69"/>
        <v>103UG1</v>
      </c>
      <c r="L288" s="104" t="s">
        <v>269</v>
      </c>
      <c r="M288" s="82" t="s">
        <v>267</v>
      </c>
    </row>
    <row r="289" spans="1:24" outlineLevel="1" x14ac:dyDescent="0.25">
      <c r="A289" s="300"/>
      <c r="B289" s="302"/>
      <c r="C289" s="149">
        <v>28</v>
      </c>
      <c r="D289" s="136" t="s">
        <v>200</v>
      </c>
      <c r="E289" s="129" t="s">
        <v>35</v>
      </c>
      <c r="F289" s="315"/>
      <c r="G289" s="294"/>
      <c r="H289" s="294"/>
      <c r="I289" s="115">
        <v>8790</v>
      </c>
      <c r="J289" s="107" t="str">
        <f>IF(OR(D289="",D289="-"),"",CONCATENATE("SPT021",K289,"/",L289,".",M289))</f>
        <v>SPT021103UG1/It_MMXN2.Amp</v>
      </c>
      <c r="K289" s="103" t="str">
        <f t="shared" si="69"/>
        <v>103UG1</v>
      </c>
      <c r="L289" s="104" t="s">
        <v>270</v>
      </c>
      <c r="M289" s="82" t="s">
        <v>268</v>
      </c>
    </row>
    <row r="290" spans="1:24" outlineLevel="1" x14ac:dyDescent="0.25">
      <c r="A290" s="300"/>
      <c r="B290" s="302"/>
      <c r="C290" s="128">
        <v>30</v>
      </c>
      <c r="D290" s="136" t="s">
        <v>201</v>
      </c>
      <c r="E290" s="129" t="s">
        <v>35</v>
      </c>
      <c r="F290" s="315"/>
      <c r="G290" s="294"/>
      <c r="H290" s="294"/>
      <c r="I290" s="115">
        <v>8792</v>
      </c>
      <c r="J290" s="107" t="str">
        <f>IF(OR(D290="",D290="-"),"",CONCATENATE("SPT021",K290,"/",L290,".",M290))</f>
        <v>SPT021103UG1/Ut1_MMXN3.Vol</v>
      </c>
      <c r="K290" s="103" t="str">
        <f t="shared" si="69"/>
        <v>103UG1</v>
      </c>
      <c r="L290" s="104" t="s">
        <v>271</v>
      </c>
      <c r="M290" s="82" t="s">
        <v>267</v>
      </c>
    </row>
    <row r="291" spans="1:24" outlineLevel="1" x14ac:dyDescent="0.25">
      <c r="A291" s="300"/>
      <c r="B291" s="302"/>
      <c r="C291" s="128">
        <v>32</v>
      </c>
      <c r="D291" s="136" t="s">
        <v>202</v>
      </c>
      <c r="E291" s="129" t="s">
        <v>35</v>
      </c>
      <c r="F291" s="315"/>
      <c r="G291" s="294"/>
      <c r="H291" s="294"/>
      <c r="I291" s="115">
        <v>8794</v>
      </c>
      <c r="J291" s="107" t="str">
        <f>IF(OR(D291="",D291="-"),"",CONCATENATE("SPT021",K291,"/",L291,".",M291))</f>
        <v>SPT021103UG1/Ib_MMXN4.Amp</v>
      </c>
      <c r="K291" s="103" t="str">
        <f t="shared" si="69"/>
        <v>103UG1</v>
      </c>
      <c r="L291" s="104" t="s">
        <v>272</v>
      </c>
      <c r="M291" s="82" t="s">
        <v>268</v>
      </c>
    </row>
    <row r="292" spans="1:24" outlineLevel="1" x14ac:dyDescent="0.25">
      <c r="A292" s="326"/>
      <c r="B292" s="313"/>
      <c r="C292" s="128">
        <v>34</v>
      </c>
      <c r="D292" s="136" t="s">
        <v>203</v>
      </c>
      <c r="E292" s="129" t="s">
        <v>35</v>
      </c>
      <c r="F292" s="316"/>
      <c r="G292" s="286"/>
      <c r="H292" s="286"/>
      <c r="I292" s="115">
        <v>8796</v>
      </c>
      <c r="J292" s="107" t="str">
        <f>IF(OR(D292="",D292="-"),"",CONCATENATE("SPT021",K292,"/",L292,".",M292))</f>
        <v>SPT021103UG1/GGIO2.AnIn</v>
      </c>
      <c r="K292" s="103" t="str">
        <f t="shared" si="69"/>
        <v>103UG1</v>
      </c>
      <c r="L292" s="104" t="s">
        <v>245</v>
      </c>
      <c r="M292" s="82" t="s">
        <v>266</v>
      </c>
    </row>
    <row r="293" spans="1:24" x14ac:dyDescent="0.25">
      <c r="A293" s="295"/>
      <c r="B293" s="296"/>
      <c r="C293" s="296"/>
      <c r="D293" s="296"/>
      <c r="E293" s="296"/>
      <c r="F293" s="296"/>
      <c r="G293" s="296"/>
      <c r="H293" s="296"/>
      <c r="I293" s="296"/>
      <c r="J293" s="297"/>
    </row>
    <row r="294" spans="1:24" x14ac:dyDescent="0.25">
      <c r="A294" s="265" t="s">
        <v>290</v>
      </c>
      <c r="B294" s="266"/>
      <c r="C294" s="266"/>
      <c r="D294" s="266"/>
      <c r="E294" s="266"/>
      <c r="F294" s="266"/>
      <c r="G294" s="266"/>
      <c r="H294" s="266"/>
      <c r="I294" s="266"/>
      <c r="J294" s="267"/>
    </row>
    <row r="295" spans="1:24" hidden="1" outlineLevel="1" x14ac:dyDescent="0.25">
      <c r="A295" s="277">
        <v>2</v>
      </c>
      <c r="B295" s="301" t="s">
        <v>3</v>
      </c>
      <c r="C295" s="149" t="s">
        <v>103</v>
      </c>
      <c r="D295" s="149" t="s">
        <v>115</v>
      </c>
      <c r="E295" s="150" t="s">
        <v>2</v>
      </c>
      <c r="F295" s="314" t="s">
        <v>28</v>
      </c>
      <c r="G295" s="285" t="s">
        <v>339</v>
      </c>
      <c r="H295" s="282" t="s">
        <v>59</v>
      </c>
      <c r="I295" s="151">
        <v>4279</v>
      </c>
      <c r="J295" s="107" t="str">
        <f>IF(OR(D295="",D295="-"),"",CONCATENATE("SPT021",K295,"/",L295,".",M295))</f>
        <v>SPT021UG2/GGIO1.Ind1</v>
      </c>
      <c r="K295" s="103" t="s">
        <v>265</v>
      </c>
      <c r="L295" s="104" t="s">
        <v>244</v>
      </c>
      <c r="M295" s="82" t="s">
        <v>36</v>
      </c>
      <c r="S295" s="82">
        <f t="shared" ref="S295:S344" si="72">I295-4095</f>
        <v>184</v>
      </c>
      <c r="T295" s="82" t="str">
        <f t="shared" ref="T295:T344" si="73">_xlfn.CONCAT($T$1,S295)</f>
        <v>lb_dd184</v>
      </c>
      <c r="X295" s="82">
        <v>1</v>
      </c>
    </row>
    <row r="296" spans="1:24" hidden="1" outlineLevel="1" x14ac:dyDescent="0.25">
      <c r="A296" s="277"/>
      <c r="B296" s="302"/>
      <c r="C296" s="128" t="s">
        <v>104</v>
      </c>
      <c r="D296" s="128" t="s">
        <v>116</v>
      </c>
      <c r="E296" s="150" t="s">
        <v>2</v>
      </c>
      <c r="F296" s="315"/>
      <c r="G296" s="294"/>
      <c r="H296" s="283"/>
      <c r="I296" s="115">
        <v>4280</v>
      </c>
      <c r="J296" s="107" t="str">
        <f>IF(OR(D296="",D296="-"),"",CONCATENATE("SPT021",K296,"/",L296,".",M296))</f>
        <v>SPT021UG2/GGIO1.Ind2</v>
      </c>
      <c r="K296" s="103" t="s">
        <v>265</v>
      </c>
      <c r="L296" s="104" t="s">
        <v>244</v>
      </c>
      <c r="M296" s="82" t="s">
        <v>38</v>
      </c>
      <c r="S296" s="82">
        <f t="shared" si="72"/>
        <v>185</v>
      </c>
      <c r="T296" s="82" t="str">
        <f t="shared" si="73"/>
        <v>lb_dd185</v>
      </c>
      <c r="X296" s="82">
        <v>2</v>
      </c>
    </row>
    <row r="297" spans="1:24" hidden="1" outlineLevel="1" x14ac:dyDescent="0.25">
      <c r="A297" s="277"/>
      <c r="B297" s="302"/>
      <c r="C297" s="128" t="s">
        <v>105</v>
      </c>
      <c r="D297" s="128" t="s">
        <v>117</v>
      </c>
      <c r="E297" s="150" t="s">
        <v>2</v>
      </c>
      <c r="F297" s="315"/>
      <c r="G297" s="294"/>
      <c r="H297" s="283"/>
      <c r="I297" s="115">
        <v>4281</v>
      </c>
      <c r="J297" s="107" t="str">
        <f>IF(OR(D297="",D297="-"),"",CONCATENATE("SPT021",K297,"/",L297,".",M297))</f>
        <v>SPT021UG2/GGIO1.Ind3</v>
      </c>
      <c r="K297" s="103" t="s">
        <v>265</v>
      </c>
      <c r="L297" s="104" t="s">
        <v>244</v>
      </c>
      <c r="M297" s="82" t="s">
        <v>40</v>
      </c>
      <c r="S297" s="82">
        <f t="shared" si="72"/>
        <v>186</v>
      </c>
      <c r="T297" s="82" t="str">
        <f t="shared" si="73"/>
        <v>lb_dd186</v>
      </c>
      <c r="X297" s="82">
        <v>3</v>
      </c>
    </row>
    <row r="298" spans="1:24" hidden="1" outlineLevel="1" x14ac:dyDescent="0.25">
      <c r="A298" s="277"/>
      <c r="B298" s="302"/>
      <c r="C298" s="149" t="s">
        <v>106</v>
      </c>
      <c r="D298" s="128" t="s">
        <v>118</v>
      </c>
      <c r="E298" s="150" t="s">
        <v>2</v>
      </c>
      <c r="F298" s="315"/>
      <c r="G298" s="294"/>
      <c r="H298" s="283"/>
      <c r="I298" s="115">
        <v>4282</v>
      </c>
      <c r="J298" s="107" t="str">
        <f>IF(OR(D298="",D298="-"),"",CONCATENATE("SPT021",K298,"/",L298,".",M298))</f>
        <v>SPT021UG2/GGIO1.Ind4</v>
      </c>
      <c r="K298" s="103" t="s">
        <v>265</v>
      </c>
      <c r="L298" s="104" t="s">
        <v>244</v>
      </c>
      <c r="M298" s="82" t="s">
        <v>42</v>
      </c>
      <c r="S298" s="82">
        <f t="shared" si="72"/>
        <v>187</v>
      </c>
      <c r="T298" s="82" t="str">
        <f t="shared" si="73"/>
        <v>lb_dd187</v>
      </c>
      <c r="X298" s="82">
        <v>4</v>
      </c>
    </row>
    <row r="299" spans="1:24" hidden="1" outlineLevel="1" x14ac:dyDescent="0.25">
      <c r="A299" s="277"/>
      <c r="B299" s="302"/>
      <c r="C299" s="149" t="s">
        <v>107</v>
      </c>
      <c r="D299" s="128" t="s">
        <v>119</v>
      </c>
      <c r="E299" s="150" t="s">
        <v>2</v>
      </c>
      <c r="F299" s="315"/>
      <c r="G299" s="294"/>
      <c r="H299" s="283"/>
      <c r="I299" s="115">
        <v>4283</v>
      </c>
      <c r="J299" s="107" t="str">
        <f>IF(OR(D299="",D299="-"),"",CONCATENATE("SPT021",K299,"/",L299,".",M299))</f>
        <v>SPT021UG2/GGIO1.Ind5</v>
      </c>
      <c r="K299" s="103" t="s">
        <v>265</v>
      </c>
      <c r="L299" s="104" t="s">
        <v>244</v>
      </c>
      <c r="M299" s="82" t="s">
        <v>44</v>
      </c>
      <c r="S299" s="82">
        <f t="shared" si="72"/>
        <v>188</v>
      </c>
      <c r="T299" s="82" t="str">
        <f t="shared" si="73"/>
        <v>lb_dd188</v>
      </c>
      <c r="X299" s="82">
        <v>5</v>
      </c>
    </row>
    <row r="300" spans="1:24" hidden="1" outlineLevel="1" x14ac:dyDescent="0.25">
      <c r="A300" s="277"/>
      <c r="B300" s="302"/>
      <c r="C300" s="149" t="s">
        <v>108</v>
      </c>
      <c r="D300" s="128" t="s">
        <v>120</v>
      </c>
      <c r="E300" s="150" t="s">
        <v>10</v>
      </c>
      <c r="F300" s="315"/>
      <c r="G300" s="294"/>
      <c r="H300" s="283"/>
      <c r="I300" s="115">
        <v>4284</v>
      </c>
      <c r="J300" s="107" t="str">
        <f>IF(OR(D300="",D300="-"),"",CONCATENATE("SPT021",K300,"/",L300,".",M300))</f>
        <v>SPT021UG2/GGIO1.Ind6</v>
      </c>
      <c r="K300" s="103" t="s">
        <v>265</v>
      </c>
      <c r="L300" s="104" t="s">
        <v>244</v>
      </c>
      <c r="M300" s="82" t="s">
        <v>46</v>
      </c>
      <c r="S300" s="82">
        <f t="shared" si="72"/>
        <v>189</v>
      </c>
      <c r="T300" s="82" t="str">
        <f t="shared" si="73"/>
        <v>lb_dd189</v>
      </c>
      <c r="X300" s="82">
        <v>6</v>
      </c>
    </row>
    <row r="301" spans="1:24" hidden="1" outlineLevel="1" x14ac:dyDescent="0.25">
      <c r="A301" s="277"/>
      <c r="B301" s="302"/>
      <c r="C301" s="149" t="s">
        <v>109</v>
      </c>
      <c r="D301" s="128" t="s">
        <v>121</v>
      </c>
      <c r="E301" s="150" t="s">
        <v>10</v>
      </c>
      <c r="F301" s="315"/>
      <c r="G301" s="294"/>
      <c r="H301" s="283"/>
      <c r="I301" s="115">
        <v>4285</v>
      </c>
      <c r="J301" s="107" t="str">
        <f>IF(OR(D301="",D301="-"),"",CONCATENATE("SPT021",K301,"/",L301,".",M301))</f>
        <v>SPT021UG2/GGIO1.Alm1</v>
      </c>
      <c r="K301" s="103" t="s">
        <v>265</v>
      </c>
      <c r="L301" s="104" t="s">
        <v>244</v>
      </c>
      <c r="M301" s="108" t="s">
        <v>37</v>
      </c>
      <c r="S301" s="82">
        <f t="shared" si="72"/>
        <v>190</v>
      </c>
      <c r="T301" s="82" t="str">
        <f t="shared" si="73"/>
        <v>lb_dd190</v>
      </c>
      <c r="X301" s="82">
        <v>7</v>
      </c>
    </row>
    <row r="302" spans="1:24" hidden="1" outlineLevel="1" x14ac:dyDescent="0.25">
      <c r="A302" s="277"/>
      <c r="B302" s="302"/>
      <c r="C302" s="149" t="s">
        <v>110</v>
      </c>
      <c r="D302" s="128" t="s">
        <v>122</v>
      </c>
      <c r="E302" s="150" t="s">
        <v>10</v>
      </c>
      <c r="F302" s="315"/>
      <c r="G302" s="294"/>
      <c r="H302" s="283"/>
      <c r="I302" s="115">
        <v>4286</v>
      </c>
      <c r="J302" s="107" t="str">
        <f>IF(OR(D302="",D302="-"),"",CONCATENATE("SPT021",K302,"/",L302,".",M302))</f>
        <v>SPT021UG2/GGIO1.Alm2</v>
      </c>
      <c r="K302" s="103" t="s">
        <v>265</v>
      </c>
      <c r="L302" s="104" t="s">
        <v>244</v>
      </c>
      <c r="M302" s="108" t="s">
        <v>39</v>
      </c>
      <c r="S302" s="82">
        <f t="shared" si="72"/>
        <v>191</v>
      </c>
      <c r="T302" s="82" t="str">
        <f t="shared" si="73"/>
        <v>lb_dd191</v>
      </c>
      <c r="X302" s="82">
        <v>8</v>
      </c>
    </row>
    <row r="303" spans="1:24" hidden="1" outlineLevel="1" x14ac:dyDescent="0.25">
      <c r="A303" s="277"/>
      <c r="B303" s="302"/>
      <c r="C303" s="149" t="s">
        <v>111</v>
      </c>
      <c r="D303" s="128" t="s">
        <v>123</v>
      </c>
      <c r="E303" s="150" t="s">
        <v>4</v>
      </c>
      <c r="F303" s="315"/>
      <c r="G303" s="294"/>
      <c r="H303" s="283"/>
      <c r="I303" s="115">
        <v>4287</v>
      </c>
      <c r="J303" s="107" t="str">
        <f>IF(OR(D303="",D303="-"),"",CONCATENATE("SPT021",K303,"/",L303,".",M303))</f>
        <v>SPT021UG2/GGIO1.Alm3</v>
      </c>
      <c r="K303" s="103" t="s">
        <v>265</v>
      </c>
      <c r="L303" s="104" t="s">
        <v>244</v>
      </c>
      <c r="M303" s="108" t="s">
        <v>41</v>
      </c>
      <c r="S303" s="82">
        <f t="shared" si="72"/>
        <v>192</v>
      </c>
      <c r="T303" s="82" t="str">
        <f t="shared" si="73"/>
        <v>lb_dd192</v>
      </c>
      <c r="X303" s="82">
        <v>9</v>
      </c>
    </row>
    <row r="304" spans="1:24" hidden="1" outlineLevel="1" x14ac:dyDescent="0.25">
      <c r="A304" s="277"/>
      <c r="B304" s="302"/>
      <c r="C304" s="149" t="s">
        <v>112</v>
      </c>
      <c r="D304" s="128" t="s">
        <v>124</v>
      </c>
      <c r="E304" s="150" t="s">
        <v>2</v>
      </c>
      <c r="F304" s="315"/>
      <c r="G304" s="294"/>
      <c r="H304" s="283"/>
      <c r="I304" s="115">
        <v>4288</v>
      </c>
      <c r="J304" s="107" t="str">
        <f>IF(OR(D304="",D304="-"),"",CONCATENATE("SPT021",K304,"/",L304,".",M304))</f>
        <v>SPT021UG2/GGIO1.Ind7</v>
      </c>
      <c r="K304" s="103" t="s">
        <v>265</v>
      </c>
      <c r="L304" s="104" t="s">
        <v>244</v>
      </c>
      <c r="M304" s="82" t="s">
        <v>48</v>
      </c>
      <c r="S304" s="82">
        <f t="shared" si="72"/>
        <v>193</v>
      </c>
      <c r="T304" s="82" t="str">
        <f t="shared" si="73"/>
        <v>lb_dd193</v>
      </c>
      <c r="X304" s="82">
        <v>10</v>
      </c>
    </row>
    <row r="305" spans="1:24" hidden="1" outlineLevel="1" x14ac:dyDescent="0.25">
      <c r="A305" s="277"/>
      <c r="B305" s="302"/>
      <c r="C305" s="149" t="s">
        <v>113</v>
      </c>
      <c r="D305" s="128" t="s">
        <v>125</v>
      </c>
      <c r="E305" s="150" t="s">
        <v>4</v>
      </c>
      <c r="F305" s="315"/>
      <c r="G305" s="294"/>
      <c r="H305" s="283"/>
      <c r="I305" s="115">
        <v>4289</v>
      </c>
      <c r="J305" s="107" t="str">
        <f>IF(OR(D305="",D305="-"),"",CONCATENATE("SPT021",K305,"/",L305,".",M305))</f>
        <v>SPT021UG2/GGIO1.Alm4</v>
      </c>
      <c r="K305" s="103" t="s">
        <v>265</v>
      </c>
      <c r="L305" s="104" t="s">
        <v>244</v>
      </c>
      <c r="M305" s="108" t="s">
        <v>43</v>
      </c>
      <c r="S305" s="82">
        <f t="shared" si="72"/>
        <v>194</v>
      </c>
      <c r="T305" s="82" t="str">
        <f t="shared" si="73"/>
        <v>lb_dd194</v>
      </c>
      <c r="X305" s="82">
        <v>11</v>
      </c>
    </row>
    <row r="306" spans="1:24" hidden="1" outlineLevel="1" x14ac:dyDescent="0.25">
      <c r="A306" s="277"/>
      <c r="B306" s="302"/>
      <c r="C306" s="149" t="s">
        <v>114</v>
      </c>
      <c r="D306" s="128" t="s">
        <v>126</v>
      </c>
      <c r="E306" s="150" t="s">
        <v>2</v>
      </c>
      <c r="F306" s="315"/>
      <c r="G306" s="294"/>
      <c r="H306" s="283"/>
      <c r="I306" s="115">
        <v>4290</v>
      </c>
      <c r="J306" s="107" t="str">
        <f>IF(OR(D306="",D306="-"),"",CONCATENATE("SPT021",K306,"/",L306,".",M306))</f>
        <v>SPT021UG2/GGIO1.Ind8</v>
      </c>
      <c r="K306" s="103" t="s">
        <v>265</v>
      </c>
      <c r="L306" s="104" t="s">
        <v>244</v>
      </c>
      <c r="M306" s="82" t="s">
        <v>55</v>
      </c>
      <c r="S306" s="82">
        <f t="shared" si="72"/>
        <v>195</v>
      </c>
      <c r="T306" s="82" t="str">
        <f t="shared" si="73"/>
        <v>lb_dd195</v>
      </c>
      <c r="X306" s="82">
        <v>12</v>
      </c>
    </row>
    <row r="307" spans="1:24" hidden="1" outlineLevel="1" x14ac:dyDescent="0.25">
      <c r="A307" s="277"/>
      <c r="B307" s="302"/>
      <c r="C307" s="149" t="s">
        <v>127</v>
      </c>
      <c r="D307" s="128" t="s">
        <v>136</v>
      </c>
      <c r="E307" s="150" t="s">
        <v>4</v>
      </c>
      <c r="F307" s="315"/>
      <c r="G307" s="294"/>
      <c r="H307" s="283"/>
      <c r="I307" s="115">
        <v>4291</v>
      </c>
      <c r="J307" s="107" t="str">
        <f>IF(OR(D307="",D307="-"),"",CONCATENATE("SPT021",K307,"/",L307,".",M307))</f>
        <v>SPT021UG2/GGIO1.Alm5</v>
      </c>
      <c r="K307" s="103" t="s">
        <v>265</v>
      </c>
      <c r="L307" s="104" t="s">
        <v>244</v>
      </c>
      <c r="M307" s="108" t="s">
        <v>45</v>
      </c>
      <c r="S307" s="82">
        <f t="shared" si="72"/>
        <v>196</v>
      </c>
      <c r="T307" s="82" t="str">
        <f t="shared" si="73"/>
        <v>lb_dd196</v>
      </c>
      <c r="X307" s="82">
        <v>13</v>
      </c>
    </row>
    <row r="308" spans="1:24" hidden="1" outlineLevel="1" x14ac:dyDescent="0.25">
      <c r="A308" s="277"/>
      <c r="B308" s="302"/>
      <c r="C308" s="149" t="s">
        <v>128</v>
      </c>
      <c r="D308" s="128" t="s">
        <v>137</v>
      </c>
      <c r="E308" s="150" t="s">
        <v>4</v>
      </c>
      <c r="F308" s="315"/>
      <c r="G308" s="294"/>
      <c r="H308" s="283"/>
      <c r="I308" s="115">
        <v>4292</v>
      </c>
      <c r="J308" s="107" t="str">
        <f>IF(OR(D308="",D308="-"),"",CONCATENATE("SPT021",K308,"/",L308,".",M308))</f>
        <v>SPT021UG2/GGIO1.Alm6</v>
      </c>
      <c r="K308" s="103" t="s">
        <v>265</v>
      </c>
      <c r="L308" s="104" t="s">
        <v>244</v>
      </c>
      <c r="M308" s="108" t="s">
        <v>47</v>
      </c>
      <c r="S308" s="82">
        <f t="shared" si="72"/>
        <v>197</v>
      </c>
      <c r="T308" s="82" t="str">
        <f t="shared" si="73"/>
        <v>lb_dd197</v>
      </c>
      <c r="X308" s="82">
        <v>14</v>
      </c>
    </row>
    <row r="309" spans="1:24" hidden="1" outlineLevel="1" x14ac:dyDescent="0.25">
      <c r="A309" s="277"/>
      <c r="B309" s="302"/>
      <c r="C309" s="149" t="s">
        <v>129</v>
      </c>
      <c r="D309" s="128" t="s">
        <v>138</v>
      </c>
      <c r="E309" s="150" t="s">
        <v>4</v>
      </c>
      <c r="F309" s="315"/>
      <c r="G309" s="294"/>
      <c r="H309" s="283"/>
      <c r="I309" s="115">
        <v>4293</v>
      </c>
      <c r="J309" s="107" t="str">
        <f>IF(OR(D309="",D309="-"),"",CONCATENATE("SPT021",K309,"/",L309,".",M309))</f>
        <v>SPT021UG2/GGIO1.Alm7</v>
      </c>
      <c r="K309" s="103" t="s">
        <v>265</v>
      </c>
      <c r="L309" s="104" t="s">
        <v>244</v>
      </c>
      <c r="M309" s="108" t="s">
        <v>49</v>
      </c>
      <c r="S309" s="82">
        <f t="shared" si="72"/>
        <v>198</v>
      </c>
      <c r="T309" s="82" t="str">
        <f t="shared" si="73"/>
        <v>lb_dd198</v>
      </c>
      <c r="X309" s="82">
        <v>15</v>
      </c>
    </row>
    <row r="310" spans="1:24" hidden="1" outlineLevel="1" x14ac:dyDescent="0.25">
      <c r="A310" s="277"/>
      <c r="B310" s="302"/>
      <c r="C310" s="149" t="s">
        <v>130</v>
      </c>
      <c r="D310" s="86" t="s">
        <v>29</v>
      </c>
      <c r="E310" s="86" t="s">
        <v>29</v>
      </c>
      <c r="F310" s="315"/>
      <c r="G310" s="294"/>
      <c r="H310" s="283"/>
      <c r="I310" s="86" t="s">
        <v>342</v>
      </c>
      <c r="J310" s="107" t="str">
        <f>IF(OR(D310="",D310="-"),"",CONCATENATE("SPT021",K310,"/",L310,".",M310))</f>
        <v/>
      </c>
      <c r="S310" s="82">
        <f t="shared" si="72"/>
        <v>199</v>
      </c>
      <c r="T310" s="82" t="str">
        <f t="shared" si="73"/>
        <v>lb_dd199</v>
      </c>
      <c r="X310" s="82">
        <v>16</v>
      </c>
    </row>
    <row r="311" spans="1:24" hidden="1" outlineLevel="1" x14ac:dyDescent="0.25">
      <c r="A311" s="277"/>
      <c r="B311" s="302"/>
      <c r="C311" s="149" t="s">
        <v>131</v>
      </c>
      <c r="D311" s="128" t="s">
        <v>139</v>
      </c>
      <c r="E311" s="150" t="s">
        <v>4</v>
      </c>
      <c r="F311" s="315"/>
      <c r="G311" s="294"/>
      <c r="H311" s="283"/>
      <c r="I311" s="115">
        <v>4295</v>
      </c>
      <c r="J311" s="107" t="str">
        <f>IF(OR(D311="",D311="-"),"",CONCATENATE("SPT021",K311,"/",L311,".",M311))</f>
        <v>SPT021UG2/GGIO1.Alm8</v>
      </c>
      <c r="K311" s="103" t="s">
        <v>265</v>
      </c>
      <c r="L311" s="104" t="s">
        <v>244</v>
      </c>
      <c r="M311" s="108" t="s">
        <v>56</v>
      </c>
      <c r="S311" s="82">
        <f t="shared" si="72"/>
        <v>200</v>
      </c>
      <c r="T311" s="82" t="str">
        <f t="shared" si="73"/>
        <v>lb_dd200</v>
      </c>
      <c r="X311" s="82">
        <v>17</v>
      </c>
    </row>
    <row r="312" spans="1:24" hidden="1" outlineLevel="1" x14ac:dyDescent="0.25">
      <c r="A312" s="277"/>
      <c r="B312" s="302"/>
      <c r="C312" s="149" t="s">
        <v>132</v>
      </c>
      <c r="D312" s="128" t="s">
        <v>140</v>
      </c>
      <c r="E312" s="150" t="s">
        <v>2</v>
      </c>
      <c r="F312" s="315"/>
      <c r="G312" s="294"/>
      <c r="H312" s="283"/>
      <c r="I312" s="115">
        <v>4296</v>
      </c>
      <c r="J312" s="107" t="str">
        <f>IF(OR(D312="",D312="-"),"",CONCATENATE("SPT021",K312,"/",L312,".",M312))</f>
        <v>SPT021UG2/GGIO1.Ind9</v>
      </c>
      <c r="K312" s="103" t="s">
        <v>265</v>
      </c>
      <c r="L312" s="104" t="s">
        <v>244</v>
      </c>
      <c r="M312" s="82" t="s">
        <v>93</v>
      </c>
      <c r="S312" s="82">
        <f t="shared" si="72"/>
        <v>201</v>
      </c>
      <c r="T312" s="82" t="str">
        <f t="shared" si="73"/>
        <v>lb_dd201</v>
      </c>
      <c r="X312" s="82">
        <v>18</v>
      </c>
    </row>
    <row r="313" spans="1:24" ht="15" hidden="1" customHeight="1" outlineLevel="1" x14ac:dyDescent="0.25">
      <c r="A313" s="277"/>
      <c r="B313" s="302"/>
      <c r="C313" s="149" t="s">
        <v>133</v>
      </c>
      <c r="D313" s="128" t="s">
        <v>141</v>
      </c>
      <c r="E313" s="150" t="s">
        <v>2</v>
      </c>
      <c r="F313" s="315"/>
      <c r="G313" s="294"/>
      <c r="H313" s="283"/>
      <c r="I313" s="115">
        <v>4297</v>
      </c>
      <c r="J313" s="107" t="str">
        <f>IF(OR(D313="",D313="-"),"",CONCATENATE("SPT021",K313,"/",L313,".",M313))</f>
        <v>SPT021UG2/GGIO1.Ind10</v>
      </c>
      <c r="K313" s="103" t="s">
        <v>265</v>
      </c>
      <c r="L313" s="104" t="s">
        <v>244</v>
      </c>
      <c r="M313" s="82" t="s">
        <v>94</v>
      </c>
      <c r="S313" s="82">
        <f t="shared" si="72"/>
        <v>202</v>
      </c>
      <c r="T313" s="82" t="str">
        <f t="shared" si="73"/>
        <v>lb_dd202</v>
      </c>
      <c r="X313" s="82">
        <v>19</v>
      </c>
    </row>
    <row r="314" spans="1:24" hidden="1" outlineLevel="1" x14ac:dyDescent="0.25">
      <c r="A314" s="277"/>
      <c r="B314" s="302"/>
      <c r="C314" s="149" t="s">
        <v>134</v>
      </c>
      <c r="D314" s="128" t="s">
        <v>142</v>
      </c>
      <c r="E314" s="150" t="s">
        <v>2</v>
      </c>
      <c r="F314" s="315"/>
      <c r="G314" s="294"/>
      <c r="H314" s="283"/>
      <c r="I314" s="115">
        <v>4298</v>
      </c>
      <c r="J314" s="107" t="str">
        <f>IF(OR(D314="",D314="-"),"",CONCATENATE("SPT021",K314,"/",L314,".",M314))</f>
        <v>SPT021UG2/GGIO1.Ind11</v>
      </c>
      <c r="K314" s="103" t="s">
        <v>265</v>
      </c>
      <c r="L314" s="104" t="s">
        <v>244</v>
      </c>
      <c r="M314" s="82" t="s">
        <v>95</v>
      </c>
      <c r="S314" s="82">
        <f t="shared" si="72"/>
        <v>203</v>
      </c>
      <c r="T314" s="82" t="str">
        <f t="shared" si="73"/>
        <v>lb_dd203</v>
      </c>
      <c r="X314" s="82">
        <v>20</v>
      </c>
    </row>
    <row r="315" spans="1:24" hidden="1" outlineLevel="1" x14ac:dyDescent="0.25">
      <c r="A315" s="277"/>
      <c r="B315" s="302"/>
      <c r="C315" s="149" t="s">
        <v>135</v>
      </c>
      <c r="D315" s="128" t="s">
        <v>143</v>
      </c>
      <c r="E315" s="150" t="s">
        <v>10</v>
      </c>
      <c r="F315" s="315"/>
      <c r="G315" s="294"/>
      <c r="H315" s="283"/>
      <c r="I315" s="115">
        <v>4299</v>
      </c>
      <c r="J315" s="107" t="str">
        <f>IF(OR(D315="",D315="-"),"",CONCATENATE("SPT021",K315,"/",L315,".",M315))</f>
        <v>SPT021UG2/GGIO1.Ind12</v>
      </c>
      <c r="K315" s="103" t="s">
        <v>265</v>
      </c>
      <c r="L315" s="104" t="s">
        <v>244</v>
      </c>
      <c r="M315" s="82" t="s">
        <v>96</v>
      </c>
      <c r="S315" s="82">
        <f t="shared" si="72"/>
        <v>204</v>
      </c>
      <c r="T315" s="82" t="str">
        <f t="shared" si="73"/>
        <v>lb_dd204</v>
      </c>
      <c r="X315" s="82">
        <v>21</v>
      </c>
    </row>
    <row r="316" spans="1:24" hidden="1" outlineLevel="1" x14ac:dyDescent="0.25">
      <c r="A316" s="277"/>
      <c r="B316" s="302"/>
      <c r="C316" s="149" t="s">
        <v>144</v>
      </c>
      <c r="D316" s="128" t="s">
        <v>152</v>
      </c>
      <c r="E316" s="150" t="s">
        <v>4</v>
      </c>
      <c r="F316" s="315"/>
      <c r="G316" s="294"/>
      <c r="H316" s="283"/>
      <c r="I316" s="115">
        <v>4300</v>
      </c>
      <c r="J316" s="107" t="str">
        <f>IF(OR(D316="",D316="-"),"",CONCATENATE("SPT021",K316,"/",L316,".",M316))</f>
        <v>SPT021UG2/GGIO1.Alm9</v>
      </c>
      <c r="K316" s="103" t="s">
        <v>265</v>
      </c>
      <c r="L316" s="104" t="s">
        <v>244</v>
      </c>
      <c r="M316" s="108" t="s">
        <v>217</v>
      </c>
      <c r="S316" s="82">
        <f t="shared" si="72"/>
        <v>205</v>
      </c>
      <c r="T316" s="82" t="str">
        <f t="shared" si="73"/>
        <v>lb_dd205</v>
      </c>
      <c r="X316" s="82">
        <v>22</v>
      </c>
    </row>
    <row r="317" spans="1:24" hidden="1" outlineLevel="1" x14ac:dyDescent="0.25">
      <c r="A317" s="277"/>
      <c r="B317" s="302"/>
      <c r="C317" s="128" t="s">
        <v>145</v>
      </c>
      <c r="D317" s="128" t="s">
        <v>153</v>
      </c>
      <c r="E317" s="150" t="s">
        <v>4</v>
      </c>
      <c r="F317" s="315"/>
      <c r="G317" s="294"/>
      <c r="H317" s="283"/>
      <c r="I317" s="115">
        <v>4301</v>
      </c>
      <c r="J317" s="107" t="str">
        <f>IF(OR(D317="",D317="-"),"",CONCATENATE("SPT021",K317,"/",L317,".",M317))</f>
        <v>SPT021UG2/GGIO1.Alm10</v>
      </c>
      <c r="K317" s="103" t="s">
        <v>265</v>
      </c>
      <c r="L317" s="104" t="s">
        <v>244</v>
      </c>
      <c r="M317" s="108" t="s">
        <v>218</v>
      </c>
      <c r="S317" s="82">
        <f t="shared" si="72"/>
        <v>206</v>
      </c>
      <c r="T317" s="82" t="str">
        <f t="shared" si="73"/>
        <v>lb_dd206</v>
      </c>
      <c r="X317" s="82">
        <v>23</v>
      </c>
    </row>
    <row r="318" spans="1:24" hidden="1" outlineLevel="1" x14ac:dyDescent="0.25">
      <c r="A318" s="277"/>
      <c r="B318" s="302"/>
      <c r="C318" s="128" t="s">
        <v>146</v>
      </c>
      <c r="D318" s="128" t="s">
        <v>154</v>
      </c>
      <c r="E318" s="150" t="s">
        <v>4</v>
      </c>
      <c r="F318" s="315"/>
      <c r="G318" s="294"/>
      <c r="H318" s="283"/>
      <c r="I318" s="115">
        <v>4302</v>
      </c>
      <c r="J318" s="107" t="str">
        <f>IF(OR(D318="",D318="-"),"",CONCATENATE("SPT021",K318,"/",L318,".",M318))</f>
        <v>SPT021UG2/GGIO1.Alm11</v>
      </c>
      <c r="K318" s="103" t="s">
        <v>265</v>
      </c>
      <c r="L318" s="104" t="s">
        <v>244</v>
      </c>
      <c r="M318" s="108" t="s">
        <v>219</v>
      </c>
      <c r="S318" s="82">
        <f t="shared" si="72"/>
        <v>207</v>
      </c>
      <c r="T318" s="82" t="str">
        <f t="shared" si="73"/>
        <v>lb_dd207</v>
      </c>
      <c r="X318" s="82">
        <v>24</v>
      </c>
    </row>
    <row r="319" spans="1:24" hidden="1" outlineLevel="1" x14ac:dyDescent="0.25">
      <c r="A319" s="277"/>
      <c r="B319" s="302"/>
      <c r="C319" s="149" t="s">
        <v>147</v>
      </c>
      <c r="D319" s="128" t="s">
        <v>155</v>
      </c>
      <c r="E319" s="150" t="s">
        <v>4</v>
      </c>
      <c r="F319" s="315"/>
      <c r="G319" s="294"/>
      <c r="H319" s="283"/>
      <c r="I319" s="115">
        <v>4303</v>
      </c>
      <c r="J319" s="107" t="str">
        <f>IF(OR(D319="",D319="-"),"",CONCATENATE("SPT021",K319,"/",L319,".",M319))</f>
        <v>SPT021UG2/GGIO1.Alm12</v>
      </c>
      <c r="K319" s="103" t="s">
        <v>265</v>
      </c>
      <c r="L319" s="104" t="s">
        <v>244</v>
      </c>
      <c r="M319" s="108" t="s">
        <v>220</v>
      </c>
      <c r="S319" s="82">
        <f t="shared" si="72"/>
        <v>208</v>
      </c>
      <c r="T319" s="82" t="str">
        <f t="shared" si="73"/>
        <v>lb_dd208</v>
      </c>
      <c r="X319" s="82">
        <v>25</v>
      </c>
    </row>
    <row r="320" spans="1:24" hidden="1" outlineLevel="1" x14ac:dyDescent="0.25">
      <c r="A320" s="277"/>
      <c r="B320" s="302"/>
      <c r="C320" s="149" t="s">
        <v>148</v>
      </c>
      <c r="D320" s="128" t="s">
        <v>156</v>
      </c>
      <c r="E320" s="150" t="s">
        <v>4</v>
      </c>
      <c r="F320" s="315"/>
      <c r="G320" s="294"/>
      <c r="H320" s="283"/>
      <c r="I320" s="115">
        <v>4304</v>
      </c>
      <c r="J320" s="107" t="str">
        <f>IF(OR(D320="",D320="-"),"",CONCATENATE("SPT021",K320,"/",L320,".",M320))</f>
        <v>SPT021UG2/GGIO1.Alm13</v>
      </c>
      <c r="K320" s="103" t="s">
        <v>265</v>
      </c>
      <c r="L320" s="104" t="s">
        <v>244</v>
      </c>
      <c r="M320" s="108" t="s">
        <v>221</v>
      </c>
      <c r="S320" s="82">
        <f t="shared" si="72"/>
        <v>209</v>
      </c>
      <c r="T320" s="82" t="str">
        <f t="shared" si="73"/>
        <v>lb_dd209</v>
      </c>
      <c r="X320" s="82">
        <v>26</v>
      </c>
    </row>
    <row r="321" spans="1:24" hidden="1" outlineLevel="1" x14ac:dyDescent="0.25">
      <c r="A321" s="277"/>
      <c r="B321" s="302"/>
      <c r="C321" s="149" t="s">
        <v>149</v>
      </c>
      <c r="D321" s="128" t="s">
        <v>157</v>
      </c>
      <c r="E321" s="150" t="s">
        <v>4</v>
      </c>
      <c r="F321" s="315"/>
      <c r="G321" s="294"/>
      <c r="H321" s="283"/>
      <c r="I321" s="115">
        <v>4305</v>
      </c>
      <c r="J321" s="107" t="str">
        <f>IF(OR(D321="",D321="-"),"",CONCATENATE("SPT021",K321,"/",L321,".",M321))</f>
        <v>SPT021UG2/GGIO1.Alm14</v>
      </c>
      <c r="K321" s="103" t="s">
        <v>265</v>
      </c>
      <c r="L321" s="104" t="s">
        <v>244</v>
      </c>
      <c r="M321" s="108" t="s">
        <v>222</v>
      </c>
      <c r="S321" s="82">
        <f t="shared" si="72"/>
        <v>210</v>
      </c>
      <c r="T321" s="82" t="str">
        <f t="shared" si="73"/>
        <v>lb_dd210</v>
      </c>
      <c r="X321" s="82">
        <v>27</v>
      </c>
    </row>
    <row r="322" spans="1:24" hidden="1" outlineLevel="1" x14ac:dyDescent="0.25">
      <c r="A322" s="277"/>
      <c r="B322" s="302"/>
      <c r="C322" s="149" t="s">
        <v>150</v>
      </c>
      <c r="D322" s="128" t="s">
        <v>123</v>
      </c>
      <c r="E322" s="150" t="s">
        <v>4</v>
      </c>
      <c r="F322" s="315"/>
      <c r="G322" s="294"/>
      <c r="H322" s="283"/>
      <c r="I322" s="115">
        <v>4306</v>
      </c>
      <c r="J322" s="107" t="str">
        <f>IF(OR(D322="",D322="-"),"",CONCATENATE("SPT021",K322,"/",L322,".",M322))</f>
        <v>SPT021UG2/GGIO1.Alm15</v>
      </c>
      <c r="K322" s="103" t="s">
        <v>265</v>
      </c>
      <c r="L322" s="104" t="s">
        <v>244</v>
      </c>
      <c r="M322" s="108" t="s">
        <v>223</v>
      </c>
      <c r="S322" s="82">
        <f t="shared" si="72"/>
        <v>211</v>
      </c>
      <c r="T322" s="82" t="str">
        <f t="shared" si="73"/>
        <v>lb_dd211</v>
      </c>
      <c r="X322" s="82">
        <v>28</v>
      </c>
    </row>
    <row r="323" spans="1:24" hidden="1" outlineLevel="1" x14ac:dyDescent="0.25">
      <c r="A323" s="277"/>
      <c r="B323" s="302"/>
      <c r="C323" s="149" t="s">
        <v>151</v>
      </c>
      <c r="D323" s="128" t="s">
        <v>158</v>
      </c>
      <c r="E323" s="150" t="s">
        <v>4</v>
      </c>
      <c r="F323" s="315"/>
      <c r="G323" s="294"/>
      <c r="H323" s="283"/>
      <c r="I323" s="115">
        <v>4307</v>
      </c>
      <c r="J323" s="107" t="str">
        <f>IF(OR(D323="",D323="-"),"",CONCATENATE("SPT021",K323,"/",L323,".",M323))</f>
        <v>SPT021UG2/GGIO1.Alm16</v>
      </c>
      <c r="K323" s="103" t="s">
        <v>265</v>
      </c>
      <c r="L323" s="104" t="s">
        <v>244</v>
      </c>
      <c r="M323" s="108" t="s">
        <v>224</v>
      </c>
      <c r="S323" s="82">
        <f t="shared" si="72"/>
        <v>212</v>
      </c>
      <c r="T323" s="82" t="str">
        <f t="shared" si="73"/>
        <v>lb_dd212</v>
      </c>
      <c r="X323" s="82">
        <v>29</v>
      </c>
    </row>
    <row r="324" spans="1:24" hidden="1" outlineLevel="1" x14ac:dyDescent="0.25">
      <c r="A324" s="277"/>
      <c r="B324" s="302"/>
      <c r="C324" s="149" t="s">
        <v>159</v>
      </c>
      <c r="D324" s="128" t="s">
        <v>170</v>
      </c>
      <c r="E324" s="150" t="s">
        <v>4</v>
      </c>
      <c r="F324" s="315"/>
      <c r="G324" s="294"/>
      <c r="H324" s="283"/>
      <c r="I324" s="115">
        <v>4308</v>
      </c>
      <c r="J324" s="107" t="str">
        <f>IF(OR(D324="",D324="-"),"",CONCATENATE("SPT021",K324,"/",L324,".",M324))</f>
        <v>SPT021UG2/GGIO1.Alm17</v>
      </c>
      <c r="K324" s="103" t="s">
        <v>265</v>
      </c>
      <c r="L324" s="104" t="s">
        <v>244</v>
      </c>
      <c r="M324" s="108" t="s">
        <v>225</v>
      </c>
      <c r="S324" s="82">
        <f t="shared" si="72"/>
        <v>213</v>
      </c>
      <c r="T324" s="82" t="str">
        <f t="shared" si="73"/>
        <v>lb_dd213</v>
      </c>
      <c r="X324" s="82">
        <v>30</v>
      </c>
    </row>
    <row r="325" spans="1:24" hidden="1" outlineLevel="1" x14ac:dyDescent="0.25">
      <c r="A325" s="277"/>
      <c r="B325" s="302"/>
      <c r="C325" s="128" t="s">
        <v>160</v>
      </c>
      <c r="D325" s="128" t="s">
        <v>171</v>
      </c>
      <c r="E325" s="150" t="s">
        <v>4</v>
      </c>
      <c r="F325" s="315"/>
      <c r="G325" s="294"/>
      <c r="H325" s="283"/>
      <c r="I325" s="115">
        <v>4309</v>
      </c>
      <c r="J325" s="107" t="str">
        <f>IF(OR(D325="",D325="-"),"",CONCATENATE("SPT021",K325,"/",L325,".",M325))</f>
        <v>SPT021UG2/GGIO1.Alm18</v>
      </c>
      <c r="K325" s="103" t="s">
        <v>265</v>
      </c>
      <c r="L325" s="104" t="s">
        <v>244</v>
      </c>
      <c r="M325" s="108" t="s">
        <v>226</v>
      </c>
      <c r="S325" s="82">
        <f t="shared" si="72"/>
        <v>214</v>
      </c>
      <c r="T325" s="82" t="str">
        <f t="shared" si="73"/>
        <v>lb_dd214</v>
      </c>
      <c r="X325" s="82">
        <v>31</v>
      </c>
    </row>
    <row r="326" spans="1:24" hidden="1" outlineLevel="1" x14ac:dyDescent="0.25">
      <c r="A326" s="277"/>
      <c r="B326" s="302"/>
      <c r="C326" s="128" t="s">
        <v>161</v>
      </c>
      <c r="D326" s="128" t="s">
        <v>172</v>
      </c>
      <c r="E326" s="150" t="s">
        <v>4</v>
      </c>
      <c r="F326" s="315"/>
      <c r="G326" s="294"/>
      <c r="H326" s="283"/>
      <c r="I326" s="115">
        <v>4310</v>
      </c>
      <c r="J326" s="107" t="str">
        <f>IF(OR(D326="",D326="-"),"",CONCATENATE("SPT021",K326,"/",L326,".",M326))</f>
        <v>SPT021UG2/GGIO1.Alm19</v>
      </c>
      <c r="K326" s="103" t="s">
        <v>265</v>
      </c>
      <c r="L326" s="104" t="s">
        <v>244</v>
      </c>
      <c r="M326" s="108" t="s">
        <v>227</v>
      </c>
      <c r="S326" s="82">
        <f t="shared" si="72"/>
        <v>215</v>
      </c>
      <c r="T326" s="82" t="str">
        <f t="shared" si="73"/>
        <v>lb_dd215</v>
      </c>
      <c r="X326" s="82">
        <v>32</v>
      </c>
    </row>
    <row r="327" spans="1:24" hidden="1" outlineLevel="1" x14ac:dyDescent="0.25">
      <c r="A327" s="277"/>
      <c r="B327" s="302"/>
      <c r="C327" s="149" t="s">
        <v>162</v>
      </c>
      <c r="D327" s="128" t="s">
        <v>173</v>
      </c>
      <c r="E327" s="150" t="s">
        <v>4</v>
      </c>
      <c r="F327" s="315"/>
      <c r="G327" s="294"/>
      <c r="H327" s="283"/>
      <c r="I327" s="115">
        <v>4311</v>
      </c>
      <c r="J327" s="107" t="str">
        <f>IF(OR(D327="",D327="-"),"",CONCATENATE("SPT021",K327,"/",L327,".",M327))</f>
        <v>SPT021UG2/GGIO1.Alm20</v>
      </c>
      <c r="K327" s="103" t="s">
        <v>265</v>
      </c>
      <c r="L327" s="104" t="s">
        <v>244</v>
      </c>
      <c r="M327" s="108" t="s">
        <v>228</v>
      </c>
      <c r="S327" s="82">
        <f t="shared" si="72"/>
        <v>216</v>
      </c>
      <c r="T327" s="82" t="str">
        <f t="shared" si="73"/>
        <v>lb_dd216</v>
      </c>
      <c r="X327" s="82">
        <v>33</v>
      </c>
    </row>
    <row r="328" spans="1:24" hidden="1" outlineLevel="1" x14ac:dyDescent="0.25">
      <c r="A328" s="277"/>
      <c r="B328" s="302"/>
      <c r="C328" s="149" t="s">
        <v>163</v>
      </c>
      <c r="D328" s="128" t="s">
        <v>174</v>
      </c>
      <c r="E328" s="150" t="s">
        <v>4</v>
      </c>
      <c r="F328" s="315"/>
      <c r="G328" s="294"/>
      <c r="H328" s="283"/>
      <c r="I328" s="115">
        <v>4312</v>
      </c>
      <c r="J328" s="107" t="str">
        <f>IF(OR(D328="",D328="-"),"",CONCATENATE("SPT021",K328,"/",L328,".",M328))</f>
        <v>SPT021UG2/GGIO1.Alm21</v>
      </c>
      <c r="K328" s="103" t="s">
        <v>265</v>
      </c>
      <c r="L328" s="104" t="s">
        <v>244</v>
      </c>
      <c r="M328" s="108" t="s">
        <v>229</v>
      </c>
      <c r="S328" s="82">
        <f t="shared" si="72"/>
        <v>217</v>
      </c>
      <c r="T328" s="82" t="str">
        <f t="shared" si="73"/>
        <v>lb_dd217</v>
      </c>
      <c r="X328" s="82">
        <v>34</v>
      </c>
    </row>
    <row r="329" spans="1:24" hidden="1" outlineLevel="1" x14ac:dyDescent="0.25">
      <c r="A329" s="277"/>
      <c r="B329" s="302"/>
      <c r="C329" s="149" t="s">
        <v>164</v>
      </c>
      <c r="D329" s="128" t="s">
        <v>175</v>
      </c>
      <c r="E329" s="150" t="s">
        <v>4</v>
      </c>
      <c r="F329" s="315"/>
      <c r="G329" s="294"/>
      <c r="H329" s="283"/>
      <c r="I329" s="115">
        <v>4313</v>
      </c>
      <c r="J329" s="107" t="str">
        <f>IF(OR(D329="",D329="-"),"",CONCATENATE("SPT021",K329,"/",L329,".",M329))</f>
        <v>SPT021UG2/GGIO1.Alm22</v>
      </c>
      <c r="K329" s="103" t="s">
        <v>265</v>
      </c>
      <c r="L329" s="104" t="s">
        <v>244</v>
      </c>
      <c r="M329" s="108" t="s">
        <v>230</v>
      </c>
      <c r="S329" s="82">
        <f t="shared" si="72"/>
        <v>218</v>
      </c>
      <c r="T329" s="82" t="str">
        <f t="shared" si="73"/>
        <v>lb_dd218</v>
      </c>
      <c r="X329" s="82">
        <v>35</v>
      </c>
    </row>
    <row r="330" spans="1:24" hidden="1" outlineLevel="1" x14ac:dyDescent="0.25">
      <c r="A330" s="277"/>
      <c r="B330" s="302"/>
      <c r="C330" s="149" t="s">
        <v>76</v>
      </c>
      <c r="D330" s="128" t="s">
        <v>138</v>
      </c>
      <c r="E330" s="150" t="s">
        <v>4</v>
      </c>
      <c r="F330" s="315"/>
      <c r="G330" s="294"/>
      <c r="H330" s="283"/>
      <c r="I330" s="115">
        <v>4314</v>
      </c>
      <c r="J330" s="107" t="str">
        <f>IF(OR(D330="",D330="-"),"",CONCATENATE("SPT021",K330,"/",L330,".",M330))</f>
        <v>SPT021UG2/GGIO1.Alm23</v>
      </c>
      <c r="K330" s="103" t="s">
        <v>265</v>
      </c>
      <c r="L330" s="104" t="s">
        <v>244</v>
      </c>
      <c r="M330" s="108" t="s">
        <v>231</v>
      </c>
      <c r="S330" s="82">
        <f t="shared" si="72"/>
        <v>219</v>
      </c>
      <c r="T330" s="82" t="str">
        <f t="shared" si="73"/>
        <v>lb_dd219</v>
      </c>
      <c r="X330" s="82">
        <v>36</v>
      </c>
    </row>
    <row r="331" spans="1:24" ht="15" hidden="1" customHeight="1" outlineLevel="1" x14ac:dyDescent="0.25">
      <c r="A331" s="277"/>
      <c r="B331" s="302"/>
      <c r="C331" s="149" t="s">
        <v>165</v>
      </c>
      <c r="D331" s="128" t="s">
        <v>176</v>
      </c>
      <c r="E331" s="150" t="s">
        <v>4</v>
      </c>
      <c r="F331" s="315"/>
      <c r="G331" s="294"/>
      <c r="H331" s="283"/>
      <c r="I331" s="115">
        <v>4315</v>
      </c>
      <c r="J331" s="107" t="str">
        <f>IF(OR(D331="",D331="-"),"",CONCATENATE("SPT021",K331,"/",L331,".",M331))</f>
        <v>SPT021UG2/GGIO1.Alm24</v>
      </c>
      <c r="K331" s="103" t="s">
        <v>265</v>
      </c>
      <c r="L331" s="104" t="s">
        <v>244</v>
      </c>
      <c r="M331" s="108" t="s">
        <v>232</v>
      </c>
      <c r="S331" s="82">
        <f t="shared" si="72"/>
        <v>220</v>
      </c>
      <c r="T331" s="82" t="str">
        <f t="shared" si="73"/>
        <v>lb_dd220</v>
      </c>
      <c r="X331" s="82">
        <v>37</v>
      </c>
    </row>
    <row r="332" spans="1:24" hidden="1" outlineLevel="1" x14ac:dyDescent="0.25">
      <c r="A332" s="277"/>
      <c r="B332" s="302"/>
      <c r="C332" s="149" t="s">
        <v>166</v>
      </c>
      <c r="D332" s="128" t="s">
        <v>177</v>
      </c>
      <c r="E332" s="150" t="s">
        <v>4</v>
      </c>
      <c r="F332" s="315"/>
      <c r="G332" s="294"/>
      <c r="H332" s="283"/>
      <c r="I332" s="115">
        <v>4316</v>
      </c>
      <c r="J332" s="107" t="str">
        <f>IF(OR(D332="",D332="-"),"",CONCATENATE("SPT021",K332,"/",L332,".",M332))</f>
        <v>SPT021UG2/GGIO1.Alm25</v>
      </c>
      <c r="K332" s="103" t="s">
        <v>265</v>
      </c>
      <c r="L332" s="104" t="s">
        <v>244</v>
      </c>
      <c r="M332" s="108" t="s">
        <v>233</v>
      </c>
      <c r="S332" s="82">
        <f t="shared" si="72"/>
        <v>221</v>
      </c>
      <c r="T332" s="82" t="str">
        <f t="shared" si="73"/>
        <v>lb_dd221</v>
      </c>
      <c r="X332" s="82">
        <v>38</v>
      </c>
    </row>
    <row r="333" spans="1:24" hidden="1" outlineLevel="1" x14ac:dyDescent="0.25">
      <c r="A333" s="277"/>
      <c r="B333" s="302"/>
      <c r="C333" s="149" t="s">
        <v>167</v>
      </c>
      <c r="D333" s="128" t="s">
        <v>125</v>
      </c>
      <c r="E333" s="150" t="s">
        <v>4</v>
      </c>
      <c r="F333" s="315"/>
      <c r="G333" s="294"/>
      <c r="H333" s="283"/>
      <c r="I333" s="115">
        <v>4317</v>
      </c>
      <c r="J333" s="107" t="str">
        <f>IF(OR(D333="",D333="-"),"",CONCATENATE("SPT021",K333,"/",L333,".",M333))</f>
        <v>SPT021UG2/GGIO1.Alm26</v>
      </c>
      <c r="K333" s="103" t="s">
        <v>265</v>
      </c>
      <c r="L333" s="104" t="s">
        <v>244</v>
      </c>
      <c r="M333" s="108" t="s">
        <v>234</v>
      </c>
      <c r="S333" s="82">
        <f t="shared" si="72"/>
        <v>222</v>
      </c>
      <c r="T333" s="82" t="str">
        <f t="shared" si="73"/>
        <v>lb_dd222</v>
      </c>
      <c r="X333" s="82">
        <v>39</v>
      </c>
    </row>
    <row r="334" spans="1:24" hidden="1" outlineLevel="1" x14ac:dyDescent="0.25">
      <c r="A334" s="277"/>
      <c r="B334" s="302"/>
      <c r="C334" s="149" t="s">
        <v>168</v>
      </c>
      <c r="D334" s="128" t="s">
        <v>178</v>
      </c>
      <c r="E334" s="150" t="s">
        <v>4</v>
      </c>
      <c r="F334" s="315"/>
      <c r="G334" s="294"/>
      <c r="H334" s="283"/>
      <c r="I334" s="115">
        <v>4318</v>
      </c>
      <c r="J334" s="107" t="str">
        <f>IF(OR(D334="",D334="-"),"",CONCATENATE("SPT021",K334,"/",L334,".",M334))</f>
        <v>SPT021UG2/GGIO1.Alm27</v>
      </c>
      <c r="K334" s="103" t="s">
        <v>265</v>
      </c>
      <c r="L334" s="104" t="s">
        <v>244</v>
      </c>
      <c r="M334" s="108" t="s">
        <v>235</v>
      </c>
      <c r="S334" s="82">
        <f t="shared" si="72"/>
        <v>223</v>
      </c>
      <c r="T334" s="82" t="str">
        <f t="shared" si="73"/>
        <v>lb_dd223</v>
      </c>
      <c r="X334" s="82">
        <v>40</v>
      </c>
    </row>
    <row r="335" spans="1:24" hidden="1" outlineLevel="1" x14ac:dyDescent="0.25">
      <c r="A335" s="277"/>
      <c r="B335" s="302"/>
      <c r="C335" s="149" t="s">
        <v>169</v>
      </c>
      <c r="D335" s="128" t="s">
        <v>179</v>
      </c>
      <c r="E335" s="150" t="s">
        <v>4</v>
      </c>
      <c r="F335" s="315"/>
      <c r="G335" s="294"/>
      <c r="H335" s="283"/>
      <c r="I335" s="115">
        <v>4319</v>
      </c>
      <c r="J335" s="107" t="str">
        <f>IF(OR(D335="",D335="-"),"",CONCATENATE("SPT021",K335,"/",L335,".",M335))</f>
        <v>SPT021UG2/GGIO1.Alm28</v>
      </c>
      <c r="K335" s="103" t="s">
        <v>265</v>
      </c>
      <c r="L335" s="104" t="s">
        <v>244</v>
      </c>
      <c r="M335" s="108" t="s">
        <v>236</v>
      </c>
      <c r="S335" s="82">
        <f t="shared" si="72"/>
        <v>224</v>
      </c>
      <c r="T335" s="82" t="str">
        <f t="shared" si="73"/>
        <v>lb_dd224</v>
      </c>
      <c r="X335" s="82">
        <v>41</v>
      </c>
    </row>
    <row r="336" spans="1:24" hidden="1" outlineLevel="1" x14ac:dyDescent="0.25">
      <c r="A336" s="277"/>
      <c r="B336" s="302"/>
      <c r="C336" s="149" t="s">
        <v>182</v>
      </c>
      <c r="D336" s="128" t="s">
        <v>180</v>
      </c>
      <c r="E336" s="150" t="s">
        <v>4</v>
      </c>
      <c r="F336" s="315"/>
      <c r="G336" s="294"/>
      <c r="H336" s="283"/>
      <c r="I336" s="115">
        <v>4320</v>
      </c>
      <c r="J336" s="107" t="str">
        <f>IF(OR(D336="",D336="-"),"",CONCATENATE("SPT021",K336,"/",L336,".",M336))</f>
        <v>SPT021UG2/GGIO1.Alm29</v>
      </c>
      <c r="K336" s="103" t="s">
        <v>265</v>
      </c>
      <c r="L336" s="104" t="s">
        <v>244</v>
      </c>
      <c r="M336" s="108" t="s">
        <v>237</v>
      </c>
      <c r="S336" s="82">
        <f t="shared" si="72"/>
        <v>225</v>
      </c>
      <c r="T336" s="82" t="str">
        <f t="shared" si="73"/>
        <v>lb_dd225</v>
      </c>
      <c r="X336" s="82">
        <v>42</v>
      </c>
    </row>
    <row r="337" spans="1:24" hidden="1" outlineLevel="1" x14ac:dyDescent="0.25">
      <c r="A337" s="277"/>
      <c r="B337" s="302"/>
      <c r="C337" s="128" t="s">
        <v>183</v>
      </c>
      <c r="D337" s="128" t="s">
        <v>181</v>
      </c>
      <c r="E337" s="150" t="s">
        <v>4</v>
      </c>
      <c r="F337" s="315"/>
      <c r="G337" s="294"/>
      <c r="H337" s="283"/>
      <c r="I337" s="115">
        <v>4321</v>
      </c>
      <c r="J337" s="107" t="str">
        <f>IF(OR(D337="",D337="-"),"",CONCATENATE("SPT021",K337,"/",L337,".",M337))</f>
        <v>SPT021UG2/GGIO1.Alm30</v>
      </c>
      <c r="K337" s="103" t="s">
        <v>265</v>
      </c>
      <c r="L337" s="104" t="s">
        <v>244</v>
      </c>
      <c r="M337" s="108" t="s">
        <v>238</v>
      </c>
      <c r="S337" s="82">
        <f t="shared" si="72"/>
        <v>226</v>
      </c>
      <c r="T337" s="82" t="str">
        <f t="shared" si="73"/>
        <v>lb_dd226</v>
      </c>
      <c r="X337" s="82">
        <v>43</v>
      </c>
    </row>
    <row r="338" spans="1:24" hidden="1" outlineLevel="1" x14ac:dyDescent="0.25">
      <c r="A338" s="277"/>
      <c r="B338" s="302"/>
      <c r="C338" s="149" t="s">
        <v>191</v>
      </c>
      <c r="D338" s="128" t="s">
        <v>184</v>
      </c>
      <c r="E338" s="150" t="s">
        <v>190</v>
      </c>
      <c r="F338" s="315"/>
      <c r="G338" s="294"/>
      <c r="H338" s="283"/>
      <c r="I338" s="115">
        <v>4322</v>
      </c>
      <c r="J338" s="107" t="str">
        <f>IF(OR(D338="",D338="-"),"",CONCATENATE("SPT021",K338,"/",L338,".",M338))</f>
        <v>SPT021UG2/GGIO1.Ind13</v>
      </c>
      <c r="K338" s="103" t="s">
        <v>265</v>
      </c>
      <c r="L338" s="104" t="s">
        <v>244</v>
      </c>
      <c r="M338" s="82" t="s">
        <v>97</v>
      </c>
      <c r="S338" s="82">
        <f t="shared" si="72"/>
        <v>227</v>
      </c>
      <c r="T338" s="82" t="str">
        <f t="shared" si="73"/>
        <v>lb_dd227</v>
      </c>
      <c r="X338" s="82">
        <v>44</v>
      </c>
    </row>
    <row r="339" spans="1:24" hidden="1" outlineLevel="1" x14ac:dyDescent="0.25">
      <c r="A339" s="277"/>
      <c r="B339" s="302"/>
      <c r="C339" s="128" t="s">
        <v>192</v>
      </c>
      <c r="D339" s="128" t="s">
        <v>185</v>
      </c>
      <c r="E339" s="150" t="s">
        <v>197</v>
      </c>
      <c r="F339" s="315"/>
      <c r="G339" s="294"/>
      <c r="H339" s="283"/>
      <c r="I339" s="115">
        <v>4323</v>
      </c>
      <c r="J339" s="107" t="str">
        <f>IF(OR(D339="",D339="-"),"",CONCATENATE("SPT021",K339,"/",L339,".",M339))</f>
        <v>SPT021UG2/GGIO1.Ind14</v>
      </c>
      <c r="K339" s="103" t="s">
        <v>265</v>
      </c>
      <c r="L339" s="104" t="s">
        <v>244</v>
      </c>
      <c r="M339" s="82" t="s">
        <v>98</v>
      </c>
      <c r="S339" s="82">
        <f t="shared" si="72"/>
        <v>228</v>
      </c>
      <c r="T339" s="82" t="str">
        <f t="shared" si="73"/>
        <v>lb_dd228</v>
      </c>
      <c r="X339" s="82">
        <v>45</v>
      </c>
    </row>
    <row r="340" spans="1:24" hidden="1" outlineLevel="1" x14ac:dyDescent="0.25">
      <c r="A340" s="277"/>
      <c r="B340" s="302"/>
      <c r="C340" s="128" t="s">
        <v>193</v>
      </c>
      <c r="D340" s="128" t="s">
        <v>186</v>
      </c>
      <c r="E340" s="150" t="s">
        <v>10</v>
      </c>
      <c r="F340" s="315"/>
      <c r="G340" s="294"/>
      <c r="H340" s="283"/>
      <c r="I340" s="115">
        <v>4324</v>
      </c>
      <c r="J340" s="107" t="str">
        <f>IF(OR(D340="",D340="-"),"",CONCATENATE("SPT021",K340,"/",L340,".",M340))</f>
        <v>SPT021UG2/GGIO1.Ind15</v>
      </c>
      <c r="K340" s="103" t="s">
        <v>265</v>
      </c>
      <c r="L340" s="104" t="s">
        <v>244</v>
      </c>
      <c r="M340" s="82" t="s">
        <v>99</v>
      </c>
      <c r="S340" s="82">
        <f t="shared" si="72"/>
        <v>229</v>
      </c>
      <c r="T340" s="82" t="str">
        <f t="shared" si="73"/>
        <v>lb_dd229</v>
      </c>
      <c r="X340" s="82">
        <v>46</v>
      </c>
    </row>
    <row r="341" spans="1:24" hidden="1" outlineLevel="1" x14ac:dyDescent="0.25">
      <c r="A341" s="277"/>
      <c r="B341" s="302"/>
      <c r="C341" s="149" t="s">
        <v>194</v>
      </c>
      <c r="D341" s="128" t="s">
        <v>187</v>
      </c>
      <c r="E341" s="150" t="s">
        <v>10</v>
      </c>
      <c r="F341" s="315"/>
      <c r="G341" s="294"/>
      <c r="H341" s="283"/>
      <c r="I341" s="115">
        <v>4325</v>
      </c>
      <c r="J341" s="107" t="str">
        <f>IF(OR(D341="",D341="-"),"",CONCATENATE("SPT021",K341,"/",L341,".",M341))</f>
        <v>SPT021UG2/GGIO1.Ind16</v>
      </c>
      <c r="K341" s="103" t="s">
        <v>265</v>
      </c>
      <c r="L341" s="104" t="s">
        <v>244</v>
      </c>
      <c r="M341" s="82" t="s">
        <v>100</v>
      </c>
      <c r="S341" s="82">
        <f t="shared" si="72"/>
        <v>230</v>
      </c>
      <c r="T341" s="82" t="str">
        <f t="shared" si="73"/>
        <v>lb_dd230</v>
      </c>
      <c r="X341" s="82">
        <v>47</v>
      </c>
    </row>
    <row r="342" spans="1:24" hidden="1" outlineLevel="1" x14ac:dyDescent="0.25">
      <c r="A342" s="277"/>
      <c r="B342" s="302"/>
      <c r="C342" s="149" t="s">
        <v>195</v>
      </c>
      <c r="D342" s="128" t="s">
        <v>188</v>
      </c>
      <c r="E342" s="150" t="s">
        <v>10</v>
      </c>
      <c r="F342" s="315"/>
      <c r="G342" s="294"/>
      <c r="H342" s="283"/>
      <c r="I342" s="115">
        <v>4326</v>
      </c>
      <c r="J342" s="107" t="str">
        <f>IF(OR(D342="",D342="-"),"",CONCATENATE("SPT021",K342,"/",L342,".",M342))</f>
        <v>SPT021UG2/GGIO1.Ind17</v>
      </c>
      <c r="K342" s="103" t="s">
        <v>265</v>
      </c>
      <c r="L342" s="104" t="s">
        <v>244</v>
      </c>
      <c r="M342" s="82" t="s">
        <v>101</v>
      </c>
      <c r="S342" s="82">
        <f t="shared" si="72"/>
        <v>231</v>
      </c>
      <c r="T342" s="82" t="str">
        <f t="shared" si="73"/>
        <v>lb_dd231</v>
      </c>
      <c r="X342" s="82">
        <v>48</v>
      </c>
    </row>
    <row r="343" spans="1:24" hidden="1" outlineLevel="1" x14ac:dyDescent="0.25">
      <c r="A343" s="277"/>
      <c r="B343" s="302"/>
      <c r="C343" s="149" t="s">
        <v>196</v>
      </c>
      <c r="D343" s="128" t="s">
        <v>189</v>
      </c>
      <c r="E343" s="150" t="s">
        <v>10</v>
      </c>
      <c r="F343" s="315"/>
      <c r="G343" s="294"/>
      <c r="H343" s="283"/>
      <c r="I343" s="115">
        <v>4327</v>
      </c>
      <c r="J343" s="107" t="str">
        <f>IF(OR(D343="",D343="-"),"",CONCATENATE("SPT021",K343,"/",L343,".",M343))</f>
        <v>SPT021UG2/GGIO1.Ind18</v>
      </c>
      <c r="K343" s="103" t="s">
        <v>265</v>
      </c>
      <c r="L343" s="104" t="s">
        <v>244</v>
      </c>
      <c r="M343" s="82" t="s">
        <v>102</v>
      </c>
      <c r="S343" s="82">
        <f t="shared" si="72"/>
        <v>232</v>
      </c>
      <c r="T343" s="82" t="str">
        <f t="shared" si="73"/>
        <v>lb_dd232</v>
      </c>
      <c r="X343" s="82">
        <v>49</v>
      </c>
    </row>
    <row r="344" spans="1:24" hidden="1" outlineLevel="1" x14ac:dyDescent="0.25">
      <c r="A344" s="277"/>
      <c r="B344" s="302"/>
      <c r="C344" s="128" t="s">
        <v>198</v>
      </c>
      <c r="D344" s="128" t="s">
        <v>136</v>
      </c>
      <c r="E344" s="150" t="s">
        <v>4</v>
      </c>
      <c r="F344" s="316"/>
      <c r="G344" s="294"/>
      <c r="H344" s="284"/>
      <c r="I344" s="115">
        <v>4328</v>
      </c>
      <c r="J344" s="107" t="str">
        <f>IF(OR(D344="",D344="-"),"",CONCATENATE("SPT021",K344,"/",L344,".",M344))</f>
        <v>SPT021UG2/GGIO1.Alm31</v>
      </c>
      <c r="K344" s="103" t="s">
        <v>265</v>
      </c>
      <c r="L344" s="104" t="s">
        <v>244</v>
      </c>
      <c r="M344" s="108" t="s">
        <v>243</v>
      </c>
      <c r="S344" s="82">
        <f t="shared" si="72"/>
        <v>233</v>
      </c>
      <c r="T344" s="82" t="str">
        <f t="shared" si="73"/>
        <v>lb_dd233</v>
      </c>
      <c r="X344" s="82">
        <v>50</v>
      </c>
    </row>
    <row r="345" spans="1:24" hidden="1" outlineLevel="1" x14ac:dyDescent="0.25">
      <c r="A345" s="277"/>
      <c r="B345" s="302"/>
      <c r="C345" s="149">
        <v>26</v>
      </c>
      <c r="D345" s="136" t="s">
        <v>199</v>
      </c>
      <c r="E345" s="129" t="s">
        <v>35</v>
      </c>
      <c r="F345" s="315" t="s">
        <v>30</v>
      </c>
      <c r="G345" s="294"/>
      <c r="H345" s="294" t="s">
        <v>59</v>
      </c>
      <c r="I345" s="115">
        <v>8798</v>
      </c>
      <c r="J345" s="107" t="str">
        <f>IF(OR(D345="",D345="-"),"",CONCATENATE("SPT021",K345,"/",L345,".",M345))</f>
        <v>SPT021UG2/Ut2_MMXN1.Vol</v>
      </c>
      <c r="K345" s="103" t="s">
        <v>265</v>
      </c>
      <c r="L345" s="104" t="s">
        <v>269</v>
      </c>
      <c r="M345" s="82" t="s">
        <v>267</v>
      </c>
    </row>
    <row r="346" spans="1:24" hidden="1" outlineLevel="1" x14ac:dyDescent="0.25">
      <c r="A346" s="277"/>
      <c r="B346" s="302"/>
      <c r="C346" s="149">
        <v>28</v>
      </c>
      <c r="D346" s="136" t="s">
        <v>200</v>
      </c>
      <c r="E346" s="129" t="s">
        <v>35</v>
      </c>
      <c r="F346" s="315"/>
      <c r="G346" s="294"/>
      <c r="H346" s="294"/>
      <c r="I346" s="115">
        <v>8800</v>
      </c>
      <c r="J346" s="107" t="str">
        <f>IF(OR(D346="",D346="-"),"",CONCATENATE("SPT021",K346,"/",L346,".",M346))</f>
        <v>SPT021UG2/It_MMXN2.Amp</v>
      </c>
      <c r="K346" s="103" t="s">
        <v>265</v>
      </c>
      <c r="L346" s="104" t="s">
        <v>270</v>
      </c>
      <c r="M346" s="82" t="s">
        <v>268</v>
      </c>
    </row>
    <row r="347" spans="1:24" hidden="1" outlineLevel="1" x14ac:dyDescent="0.25">
      <c r="A347" s="277"/>
      <c r="B347" s="302"/>
      <c r="C347" s="128">
        <v>30</v>
      </c>
      <c r="D347" s="136" t="s">
        <v>201</v>
      </c>
      <c r="E347" s="129" t="s">
        <v>35</v>
      </c>
      <c r="F347" s="315"/>
      <c r="G347" s="294"/>
      <c r="H347" s="294"/>
      <c r="I347" s="115">
        <v>8802</v>
      </c>
      <c r="J347" s="107" t="str">
        <f>IF(OR(D347="",D347="-"),"",CONCATENATE("SPT021",K347,"/",L347,".",M347))</f>
        <v>SPT021UG2/Ut1_MMXN3.Vol</v>
      </c>
      <c r="K347" s="103" t="s">
        <v>265</v>
      </c>
      <c r="L347" s="104" t="s">
        <v>271</v>
      </c>
      <c r="M347" s="82" t="s">
        <v>267</v>
      </c>
    </row>
    <row r="348" spans="1:24" hidden="1" outlineLevel="1" x14ac:dyDescent="0.25">
      <c r="A348" s="277"/>
      <c r="B348" s="302"/>
      <c r="C348" s="128">
        <v>32</v>
      </c>
      <c r="D348" s="136" t="s">
        <v>202</v>
      </c>
      <c r="E348" s="129" t="s">
        <v>35</v>
      </c>
      <c r="F348" s="315"/>
      <c r="G348" s="294"/>
      <c r="H348" s="294"/>
      <c r="I348" s="115">
        <v>8804</v>
      </c>
      <c r="J348" s="107" t="str">
        <f>IF(OR(D348="",D348="-"),"",CONCATENATE("SPT021",K348,"/",L348,".",M348))</f>
        <v>SPT021UG2/Ib_MMXN4.Amp</v>
      </c>
      <c r="K348" s="103" t="s">
        <v>265</v>
      </c>
      <c r="L348" s="104" t="s">
        <v>272</v>
      </c>
      <c r="M348" s="82" t="s">
        <v>268</v>
      </c>
    </row>
    <row r="349" spans="1:24" hidden="1" outlineLevel="1" x14ac:dyDescent="0.25">
      <c r="A349" s="277"/>
      <c r="B349" s="313"/>
      <c r="C349" s="128">
        <v>34</v>
      </c>
      <c r="D349" s="136" t="s">
        <v>203</v>
      </c>
      <c r="E349" s="129" t="s">
        <v>35</v>
      </c>
      <c r="F349" s="316"/>
      <c r="G349" s="286"/>
      <c r="H349" s="286"/>
      <c r="I349" s="115">
        <v>8806</v>
      </c>
      <c r="J349" s="107" t="str">
        <f>IF(OR(D349="",D349="-"),"",CONCATENATE("SPT021",K349,"/",L349,".",M349))</f>
        <v>SPT021UG2/GGIO2.AnIn</v>
      </c>
      <c r="K349" s="103" t="s">
        <v>265</v>
      </c>
      <c r="L349" s="104" t="s">
        <v>245</v>
      </c>
      <c r="M349" s="82" t="s">
        <v>266</v>
      </c>
    </row>
    <row r="350" spans="1:24" s="110" customFormat="1" ht="15" customHeight="1" collapsed="1" x14ac:dyDescent="0.25">
      <c r="A350" s="261"/>
      <c r="B350" s="262"/>
      <c r="C350" s="262"/>
      <c r="D350" s="262"/>
      <c r="E350" s="262"/>
      <c r="F350" s="262"/>
      <c r="G350" s="262"/>
      <c r="H350" s="262"/>
      <c r="I350" s="262"/>
      <c r="J350" s="263"/>
      <c r="K350" s="111"/>
      <c r="L350" s="142"/>
      <c r="M350" s="142"/>
      <c r="P350" s="117"/>
    </row>
    <row r="351" spans="1:24" s="110" customFormat="1" x14ac:dyDescent="0.25">
      <c r="A351" s="175" t="s">
        <v>60</v>
      </c>
      <c r="B351" s="175"/>
      <c r="C351" s="175"/>
      <c r="D351" s="175"/>
      <c r="E351" s="175"/>
      <c r="F351" s="175"/>
      <c r="G351" s="175"/>
      <c r="H351" s="175"/>
      <c r="I351" s="175"/>
      <c r="J351" s="175"/>
      <c r="L351" s="112"/>
      <c r="P351" s="117"/>
    </row>
    <row r="352" spans="1:24" s="110" customFormat="1" outlineLevel="1" x14ac:dyDescent="0.25">
      <c r="A352" s="116" t="s">
        <v>29</v>
      </c>
      <c r="B352" s="116" t="s">
        <v>29</v>
      </c>
      <c r="C352" s="116" t="s">
        <v>29</v>
      </c>
      <c r="D352" s="165" t="str">
        <f>CONCATENATE("Наличие связи с ",P352)</f>
        <v>Наличие связи с 1А3.M-MolS</v>
      </c>
      <c r="E352" s="107" t="s">
        <v>273</v>
      </c>
      <c r="F352" s="325" t="s">
        <v>28</v>
      </c>
      <c r="G352" s="116" t="s">
        <v>29</v>
      </c>
      <c r="H352" s="269" t="s">
        <v>59</v>
      </c>
      <c r="I352" s="116">
        <v>4329</v>
      </c>
      <c r="J352" s="107" t="str">
        <f>IF(OR(D352="",D352="-"),"",CONCATENATE("SPT",K352,"/",N352,L352,".",M352))</f>
        <v>SPT103CONNECT/RSPT_GGIO3.Ind1</v>
      </c>
      <c r="K352" s="179" t="s">
        <v>589</v>
      </c>
      <c r="L352" s="178" t="s">
        <v>246</v>
      </c>
      <c r="M352" s="112" t="s">
        <v>36</v>
      </c>
      <c r="N352" s="179" t="s">
        <v>561</v>
      </c>
      <c r="P352" s="117" t="s">
        <v>241</v>
      </c>
      <c r="S352" s="82">
        <f t="shared" ref="S352:S397" si="74">I352-4095</f>
        <v>234</v>
      </c>
      <c r="T352" s="82" t="str">
        <f t="shared" ref="T352:T397" si="75">_xlfn.CONCAT($T$1,S352)</f>
        <v>lb_dd234</v>
      </c>
      <c r="U352" s="142"/>
    </row>
    <row r="353" spans="1:21" s="110" customFormat="1" outlineLevel="1" x14ac:dyDescent="0.25">
      <c r="A353" s="116" t="s">
        <v>29</v>
      </c>
      <c r="B353" s="116" t="s">
        <v>29</v>
      </c>
      <c r="C353" s="116" t="s">
        <v>29</v>
      </c>
      <c r="D353" s="165" t="str">
        <f t="shared" ref="D353:D397" si="76">CONCATENATE("Наличие связи с ",P353)</f>
        <v>Наличие связи с 1А4.M-MolS</v>
      </c>
      <c r="E353" s="107" t="s">
        <v>273</v>
      </c>
      <c r="F353" s="325"/>
      <c r="G353" s="116" t="s">
        <v>29</v>
      </c>
      <c r="H353" s="269"/>
      <c r="I353" s="116">
        <f>I352+1</f>
        <v>4330</v>
      </c>
      <c r="J353" s="107" t="str">
        <f>IF(OR(D353="",D353="-"),"",CONCATENATE("SPT",K353,"/",N353,L353,".",M353))</f>
        <v>SPT103CONNECT/RSPT_GGIO3.Ind2</v>
      </c>
      <c r="K353" s="110" t="str">
        <f>K352</f>
        <v>103CONNECT</v>
      </c>
      <c r="L353" s="112" t="str">
        <f>L352</f>
        <v>GGIO3</v>
      </c>
      <c r="M353" s="112" t="s">
        <v>38</v>
      </c>
      <c r="N353" s="110" t="str">
        <f>N352</f>
        <v>RSPT_</v>
      </c>
      <c r="P353" s="117" t="s">
        <v>242</v>
      </c>
      <c r="S353" s="82">
        <f t="shared" si="74"/>
        <v>235</v>
      </c>
      <c r="T353" s="82" t="str">
        <f t="shared" si="75"/>
        <v>lb_dd235</v>
      </c>
      <c r="U353" s="142"/>
    </row>
    <row r="354" spans="1:21" s="110" customFormat="1" outlineLevel="1" x14ac:dyDescent="0.25">
      <c r="A354" s="116" t="s">
        <v>29</v>
      </c>
      <c r="B354" s="116" t="s">
        <v>29</v>
      </c>
      <c r="C354" s="116" t="s">
        <v>29</v>
      </c>
      <c r="D354" s="165" t="str">
        <f t="shared" si="76"/>
        <v>Наличие связи с 1А5.M-MolS</v>
      </c>
      <c r="E354" s="107" t="s">
        <v>273</v>
      </c>
      <c r="F354" s="325"/>
      <c r="G354" s="116" t="s">
        <v>29</v>
      </c>
      <c r="H354" s="269"/>
      <c r="I354" s="157">
        <f t="shared" ref="I354:I397" si="77">I353+1</f>
        <v>4331</v>
      </c>
      <c r="J354" s="107" t="str">
        <f>IF(OR(D354="",D354="-"),"",CONCATENATE("SPT",K354,"/",N354,L354,".",M354))</f>
        <v>SPT103CONNECT/RSPT_GGIO3.Ind3</v>
      </c>
      <c r="K354" s="110" t="str">
        <f t="shared" ref="K354:K397" si="78">K353</f>
        <v>103CONNECT</v>
      </c>
      <c r="L354" s="112" t="str">
        <f t="shared" ref="L354:L397" si="79">L353</f>
        <v>GGIO3</v>
      </c>
      <c r="M354" s="112" t="s">
        <v>40</v>
      </c>
      <c r="N354" s="110" t="str">
        <f t="shared" ref="N354:N397" si="80">N353</f>
        <v>RSPT_</v>
      </c>
      <c r="P354" s="117" t="s">
        <v>316</v>
      </c>
      <c r="S354" s="82">
        <f t="shared" si="74"/>
        <v>236</v>
      </c>
      <c r="T354" s="82" t="str">
        <f t="shared" si="75"/>
        <v>lb_dd236</v>
      </c>
      <c r="U354" s="153"/>
    </row>
    <row r="355" spans="1:21" s="110" customFormat="1" outlineLevel="1" x14ac:dyDescent="0.25">
      <c r="A355" s="116" t="s">
        <v>29</v>
      </c>
      <c r="B355" s="116" t="s">
        <v>29</v>
      </c>
      <c r="C355" s="116" t="s">
        <v>29</v>
      </c>
      <c r="D355" s="165" t="str">
        <f t="shared" si="76"/>
        <v>Наличие связи с 2A12.M-MolS</v>
      </c>
      <c r="E355" s="107" t="s">
        <v>273</v>
      </c>
      <c r="F355" s="325"/>
      <c r="G355" s="116" t="s">
        <v>29</v>
      </c>
      <c r="H355" s="269"/>
      <c r="I355" s="157">
        <f t="shared" si="77"/>
        <v>4332</v>
      </c>
      <c r="J355" s="107" t="str">
        <f>IF(OR(D355="",D355="-"),"",CONCATENATE("SPT",K355,"/",N355,L355,".",M355))</f>
        <v>SPT103CONNECT/RSPT_GGIO3.Ind4</v>
      </c>
      <c r="K355" s="110" t="str">
        <f t="shared" si="78"/>
        <v>103CONNECT</v>
      </c>
      <c r="L355" s="112" t="str">
        <f t="shared" si="79"/>
        <v>GGIO3</v>
      </c>
      <c r="M355" s="112" t="s">
        <v>42</v>
      </c>
      <c r="N355" s="110" t="str">
        <f t="shared" si="80"/>
        <v>RSPT_</v>
      </c>
      <c r="P355" s="117" t="s">
        <v>317</v>
      </c>
      <c r="S355" s="82">
        <f t="shared" si="74"/>
        <v>237</v>
      </c>
      <c r="T355" s="82" t="str">
        <f t="shared" si="75"/>
        <v>lb_dd237</v>
      </c>
      <c r="U355" s="142"/>
    </row>
    <row r="356" spans="1:21" s="110" customFormat="1" outlineLevel="1" x14ac:dyDescent="0.25">
      <c r="A356" s="116" t="s">
        <v>29</v>
      </c>
      <c r="B356" s="116" t="s">
        <v>29</v>
      </c>
      <c r="C356" s="116" t="s">
        <v>29</v>
      </c>
      <c r="D356" s="165" t="str">
        <f t="shared" si="76"/>
        <v>Наличие связи с 2A13.M-MolS</v>
      </c>
      <c r="E356" s="107" t="s">
        <v>273</v>
      </c>
      <c r="F356" s="325"/>
      <c r="G356" s="116" t="s">
        <v>29</v>
      </c>
      <c r="H356" s="269"/>
      <c r="I356" s="157">
        <f t="shared" si="77"/>
        <v>4333</v>
      </c>
      <c r="J356" s="107" t="str">
        <f>IF(OR(D356="",D356="-"),"",CONCATENATE("SPT",K356,"/",N356,L356,".",M356))</f>
        <v>SPT103CONNECT/RSPT_GGIO3.Ind5</v>
      </c>
      <c r="K356" s="110" t="str">
        <f t="shared" si="78"/>
        <v>103CONNECT</v>
      </c>
      <c r="L356" s="112" t="str">
        <f t="shared" si="79"/>
        <v>GGIO3</v>
      </c>
      <c r="M356" s="112" t="s">
        <v>44</v>
      </c>
      <c r="N356" s="110" t="str">
        <f t="shared" si="80"/>
        <v>RSPT_</v>
      </c>
      <c r="P356" s="117" t="s">
        <v>318</v>
      </c>
      <c r="S356" s="82">
        <f t="shared" si="74"/>
        <v>238</v>
      </c>
      <c r="T356" s="82" t="str">
        <f t="shared" si="75"/>
        <v>lb_dd238</v>
      </c>
      <c r="U356" s="142"/>
    </row>
    <row r="357" spans="1:21" s="110" customFormat="1" outlineLevel="1" x14ac:dyDescent="0.25">
      <c r="A357" s="116" t="s">
        <v>29</v>
      </c>
      <c r="B357" s="116" t="s">
        <v>29</v>
      </c>
      <c r="C357" s="116" t="s">
        <v>29</v>
      </c>
      <c r="D357" s="165" t="str">
        <f t="shared" si="76"/>
        <v>Наличие связи с 2A14.7051</v>
      </c>
      <c r="E357" s="107" t="s">
        <v>273</v>
      </c>
      <c r="F357" s="325"/>
      <c r="G357" s="116" t="s">
        <v>29</v>
      </c>
      <c r="H357" s="269"/>
      <c r="I357" s="157">
        <f t="shared" si="77"/>
        <v>4334</v>
      </c>
      <c r="J357" s="107" t="str">
        <f>IF(OR(D357="",D357="-"),"",CONCATENATE("SPT",K357,"/",N357,L357,".",M357))</f>
        <v>SPT103CONNECT/RSPT_GGIO3.Ind6</v>
      </c>
      <c r="K357" s="110" t="str">
        <f t="shared" si="78"/>
        <v>103CONNECT</v>
      </c>
      <c r="L357" s="112" t="str">
        <f t="shared" si="79"/>
        <v>GGIO3</v>
      </c>
      <c r="M357" s="112" t="s">
        <v>46</v>
      </c>
      <c r="N357" s="110" t="str">
        <f t="shared" si="80"/>
        <v>RSPT_</v>
      </c>
      <c r="P357" s="117" t="s">
        <v>319</v>
      </c>
      <c r="S357" s="82">
        <f t="shared" si="74"/>
        <v>239</v>
      </c>
      <c r="T357" s="82" t="str">
        <f t="shared" si="75"/>
        <v>lb_dd239</v>
      </c>
      <c r="U357" s="153"/>
    </row>
    <row r="358" spans="1:21" s="110" customFormat="1" outlineLevel="1" x14ac:dyDescent="0.25">
      <c r="A358" s="116" t="s">
        <v>29</v>
      </c>
      <c r="B358" s="116" t="s">
        <v>29</v>
      </c>
      <c r="C358" s="116" t="s">
        <v>29</v>
      </c>
      <c r="D358" s="165" t="str">
        <f t="shared" si="76"/>
        <v>Наличие связи с 2A5.ПульсНС</v>
      </c>
      <c r="E358" s="107" t="s">
        <v>273</v>
      </c>
      <c r="F358" s="325"/>
      <c r="G358" s="116" t="s">
        <v>29</v>
      </c>
      <c r="H358" s="269"/>
      <c r="I358" s="157">
        <f t="shared" si="77"/>
        <v>4335</v>
      </c>
      <c r="J358" s="107" t="str">
        <f>IF(OR(D358="",D358="-"),"",CONCATENATE("SPT",K358,"/",N358,L358,".",M358))</f>
        <v>SPT103CONNECT/RSPT_GGIO3.Ind7</v>
      </c>
      <c r="K358" s="110" t="str">
        <f t="shared" si="78"/>
        <v>103CONNECT</v>
      </c>
      <c r="L358" s="112" t="str">
        <f t="shared" si="79"/>
        <v>GGIO3</v>
      </c>
      <c r="M358" s="112" t="s">
        <v>48</v>
      </c>
      <c r="N358" s="110" t="str">
        <f t="shared" si="80"/>
        <v>RSPT_</v>
      </c>
      <c r="P358" s="117" t="s">
        <v>320</v>
      </c>
      <c r="S358" s="82">
        <f t="shared" si="74"/>
        <v>240</v>
      </c>
      <c r="T358" s="82" t="str">
        <f t="shared" si="75"/>
        <v>lb_dd240</v>
      </c>
      <c r="U358" s="153"/>
    </row>
    <row r="359" spans="1:21" s="110" customFormat="1" outlineLevel="1" x14ac:dyDescent="0.25">
      <c r="A359" s="157" t="s">
        <v>29</v>
      </c>
      <c r="B359" s="157" t="s">
        <v>29</v>
      </c>
      <c r="C359" s="157" t="s">
        <v>29</v>
      </c>
      <c r="D359" s="165" t="str">
        <f>CONCATENATE("Наличие связи с ",P359)</f>
        <v xml:space="preserve">Наличие связи с </v>
      </c>
      <c r="E359" s="107"/>
      <c r="F359" s="325"/>
      <c r="G359" s="152"/>
      <c r="H359" s="269"/>
      <c r="I359" s="157">
        <f t="shared" si="77"/>
        <v>4336</v>
      </c>
      <c r="J359" s="107" t="str">
        <f>IF(OR(D359="",D359="-"),"",CONCATENATE("SPT",K359,"/",N359,L359,".",M359))</f>
        <v>SPT103CONNECT/RSPT_GGIO3.Ind8</v>
      </c>
      <c r="K359" s="110" t="str">
        <f t="shared" si="78"/>
        <v>103CONNECT</v>
      </c>
      <c r="L359" s="112" t="str">
        <f t="shared" si="79"/>
        <v>GGIO3</v>
      </c>
      <c r="M359" s="112" t="s">
        <v>55</v>
      </c>
      <c r="N359" s="110" t="str">
        <f t="shared" si="80"/>
        <v>RSPT_</v>
      </c>
      <c r="P359" s="117"/>
      <c r="S359" s="82"/>
      <c r="T359" s="82"/>
      <c r="U359" s="153"/>
    </row>
    <row r="360" spans="1:21" s="110" customFormat="1" outlineLevel="1" x14ac:dyDescent="0.25">
      <c r="A360" s="157" t="s">
        <v>29</v>
      </c>
      <c r="B360" s="157" t="s">
        <v>29</v>
      </c>
      <c r="C360" s="157" t="s">
        <v>29</v>
      </c>
      <c r="D360" s="165" t="str">
        <f t="shared" si="76"/>
        <v xml:space="preserve">Наличие связи с </v>
      </c>
      <c r="E360" s="107"/>
      <c r="F360" s="325"/>
      <c r="G360" s="152"/>
      <c r="H360" s="269"/>
      <c r="I360" s="157">
        <f t="shared" si="77"/>
        <v>4337</v>
      </c>
      <c r="J360" s="107" t="str">
        <f>IF(OR(D360="",D360="-"),"",CONCATENATE("SPT",K360,"/",N360,L360,".",M360))</f>
        <v>SPT103CONNECT/RSPT_GGIO3.Ind9</v>
      </c>
      <c r="K360" s="110" t="str">
        <f t="shared" si="78"/>
        <v>103CONNECT</v>
      </c>
      <c r="L360" s="112" t="str">
        <f t="shared" si="79"/>
        <v>GGIO3</v>
      </c>
      <c r="M360" s="112" t="s">
        <v>93</v>
      </c>
      <c r="N360" s="110" t="str">
        <f t="shared" si="80"/>
        <v>RSPT_</v>
      </c>
      <c r="P360" s="117"/>
      <c r="S360" s="82"/>
      <c r="T360" s="82"/>
      <c r="U360" s="153"/>
    </row>
    <row r="361" spans="1:21" s="110" customFormat="1" outlineLevel="1" x14ac:dyDescent="0.25">
      <c r="A361" s="157" t="s">
        <v>29</v>
      </c>
      <c r="B361" s="157" t="s">
        <v>29</v>
      </c>
      <c r="C361" s="157" t="s">
        <v>29</v>
      </c>
      <c r="D361" s="165" t="str">
        <f t="shared" si="76"/>
        <v xml:space="preserve">Наличие связи с </v>
      </c>
      <c r="E361" s="107"/>
      <c r="F361" s="325"/>
      <c r="G361" s="152"/>
      <c r="H361" s="269"/>
      <c r="I361" s="157">
        <f t="shared" si="77"/>
        <v>4338</v>
      </c>
      <c r="J361" s="107" t="str">
        <f>IF(OR(D361="",D361="-"),"",CONCATENATE("SPT",K361,"/",N361,L361,".",M361))</f>
        <v>SPT103CONNECT/RSPT_GGIO3.Ind10</v>
      </c>
      <c r="K361" s="110" t="str">
        <f t="shared" si="78"/>
        <v>103CONNECT</v>
      </c>
      <c r="L361" s="112" t="str">
        <f t="shared" si="79"/>
        <v>GGIO3</v>
      </c>
      <c r="M361" s="112" t="s">
        <v>94</v>
      </c>
      <c r="N361" s="110" t="str">
        <f t="shared" si="80"/>
        <v>RSPT_</v>
      </c>
      <c r="P361" s="117"/>
      <c r="S361" s="82"/>
      <c r="T361" s="82"/>
      <c r="U361" s="153"/>
    </row>
    <row r="362" spans="1:21" s="110" customFormat="1" outlineLevel="1" x14ac:dyDescent="0.25">
      <c r="A362" s="157" t="s">
        <v>29</v>
      </c>
      <c r="B362" s="157" t="s">
        <v>29</v>
      </c>
      <c r="C362" s="157" t="s">
        <v>29</v>
      </c>
      <c r="D362" s="165" t="str">
        <f t="shared" si="76"/>
        <v xml:space="preserve">Наличие связи с </v>
      </c>
      <c r="E362" s="107"/>
      <c r="F362" s="325"/>
      <c r="G362" s="152"/>
      <c r="H362" s="269"/>
      <c r="I362" s="157">
        <f t="shared" si="77"/>
        <v>4339</v>
      </c>
      <c r="J362" s="107" t="str">
        <f>IF(OR(D362="",D362="-"),"",CONCATENATE("SPT",K362,"/",N362,L362,".",M362))</f>
        <v>SPT103CONNECT/RSPT_GGIO3.Ind11</v>
      </c>
      <c r="K362" s="110" t="str">
        <f t="shared" si="78"/>
        <v>103CONNECT</v>
      </c>
      <c r="L362" s="112" t="str">
        <f t="shared" si="79"/>
        <v>GGIO3</v>
      </c>
      <c r="M362" s="112" t="s">
        <v>95</v>
      </c>
      <c r="N362" s="110" t="str">
        <f t="shared" si="80"/>
        <v>RSPT_</v>
      </c>
      <c r="P362" s="117"/>
      <c r="S362" s="82"/>
      <c r="T362" s="82"/>
      <c r="U362" s="153"/>
    </row>
    <row r="363" spans="1:21" s="110" customFormat="1" outlineLevel="1" x14ac:dyDescent="0.25">
      <c r="A363" s="157" t="s">
        <v>29</v>
      </c>
      <c r="B363" s="157" t="s">
        <v>29</v>
      </c>
      <c r="C363" s="157" t="s">
        <v>29</v>
      </c>
      <c r="D363" s="165" t="str">
        <f t="shared" si="76"/>
        <v xml:space="preserve">Наличие связи с </v>
      </c>
      <c r="E363" s="107"/>
      <c r="F363" s="325"/>
      <c r="G363" s="152"/>
      <c r="H363" s="269"/>
      <c r="I363" s="157">
        <f t="shared" si="77"/>
        <v>4340</v>
      </c>
      <c r="J363" s="107" t="str">
        <f>IF(OR(D363="",D363="-"),"",CONCATENATE("SPT",K363,"/",N363,L363,".",M363))</f>
        <v>SPT103CONNECT/RSPT_GGIO3.Ind12</v>
      </c>
      <c r="K363" s="110" t="str">
        <f t="shared" si="78"/>
        <v>103CONNECT</v>
      </c>
      <c r="L363" s="112" t="str">
        <f t="shared" si="79"/>
        <v>GGIO3</v>
      </c>
      <c r="M363" s="112" t="s">
        <v>96</v>
      </c>
      <c r="N363" s="110" t="str">
        <f t="shared" si="80"/>
        <v>RSPT_</v>
      </c>
      <c r="P363" s="117"/>
      <c r="S363" s="82"/>
      <c r="T363" s="82"/>
      <c r="U363" s="153"/>
    </row>
    <row r="364" spans="1:21" s="110" customFormat="1" outlineLevel="1" x14ac:dyDescent="0.25">
      <c r="A364" s="157" t="s">
        <v>29</v>
      </c>
      <c r="B364" s="157" t="s">
        <v>29</v>
      </c>
      <c r="C364" s="157" t="s">
        <v>29</v>
      </c>
      <c r="D364" s="165" t="str">
        <f t="shared" si="76"/>
        <v xml:space="preserve">Наличие связи с </v>
      </c>
      <c r="E364" s="107"/>
      <c r="F364" s="325"/>
      <c r="G364" s="152"/>
      <c r="H364" s="269"/>
      <c r="I364" s="157">
        <f t="shared" si="77"/>
        <v>4341</v>
      </c>
      <c r="J364" s="107" t="str">
        <f>IF(OR(D364="",D364="-"),"",CONCATENATE("SPT",K364,"/",N364,L364,".",M364))</f>
        <v>SPT103CONNECT/RSPT_GGIO3.Ind13</v>
      </c>
      <c r="K364" s="110" t="str">
        <f t="shared" si="78"/>
        <v>103CONNECT</v>
      </c>
      <c r="L364" s="112" t="str">
        <f t="shared" si="79"/>
        <v>GGIO3</v>
      </c>
      <c r="M364" s="112" t="s">
        <v>97</v>
      </c>
      <c r="N364" s="110" t="str">
        <f t="shared" si="80"/>
        <v>RSPT_</v>
      </c>
      <c r="P364" s="117"/>
      <c r="S364" s="82"/>
      <c r="T364" s="82"/>
      <c r="U364" s="153"/>
    </row>
    <row r="365" spans="1:21" s="110" customFormat="1" outlineLevel="1" x14ac:dyDescent="0.25">
      <c r="A365" s="157" t="s">
        <v>29</v>
      </c>
      <c r="B365" s="157" t="s">
        <v>29</v>
      </c>
      <c r="C365" s="157" t="s">
        <v>29</v>
      </c>
      <c r="D365" s="165" t="str">
        <f t="shared" si="76"/>
        <v xml:space="preserve">Наличие связи с </v>
      </c>
      <c r="E365" s="107"/>
      <c r="F365" s="325"/>
      <c r="G365" s="152"/>
      <c r="H365" s="269"/>
      <c r="I365" s="157">
        <f t="shared" si="77"/>
        <v>4342</v>
      </c>
      <c r="J365" s="107" t="str">
        <f>IF(OR(D365="",D365="-"),"",CONCATENATE("SPT",K365,"/",N365,L365,".",M365))</f>
        <v>SPT103CONNECT/RSPT_GGIO3.Ind14</v>
      </c>
      <c r="K365" s="110" t="str">
        <f t="shared" si="78"/>
        <v>103CONNECT</v>
      </c>
      <c r="L365" s="112" t="str">
        <f t="shared" si="79"/>
        <v>GGIO3</v>
      </c>
      <c r="M365" s="112" t="s">
        <v>98</v>
      </c>
      <c r="N365" s="110" t="str">
        <f t="shared" si="80"/>
        <v>RSPT_</v>
      </c>
      <c r="P365" s="117"/>
      <c r="S365" s="82"/>
      <c r="T365" s="82"/>
      <c r="U365" s="153"/>
    </row>
    <row r="366" spans="1:21" s="110" customFormat="1" outlineLevel="1" x14ac:dyDescent="0.25">
      <c r="A366" s="157" t="s">
        <v>29</v>
      </c>
      <c r="B366" s="157" t="s">
        <v>29</v>
      </c>
      <c r="C366" s="157" t="s">
        <v>29</v>
      </c>
      <c r="D366" s="165" t="str">
        <f>CONCATENATE("Наличие связи с ",P366)</f>
        <v xml:space="preserve">Наличие связи с </v>
      </c>
      <c r="E366" s="107"/>
      <c r="F366" s="325"/>
      <c r="G366" s="152"/>
      <c r="H366" s="269"/>
      <c r="I366" s="157">
        <f t="shared" si="77"/>
        <v>4343</v>
      </c>
      <c r="J366" s="107" t="str">
        <f>IF(OR(D366="",D366="-"),"",CONCATENATE("SPT",K366,"/",N366,L366,".",M366))</f>
        <v>SPT103CONNECT/RSPT_GGIO3.Ind15</v>
      </c>
      <c r="K366" s="110" t="str">
        <f t="shared" si="78"/>
        <v>103CONNECT</v>
      </c>
      <c r="L366" s="112" t="str">
        <f t="shared" si="79"/>
        <v>GGIO3</v>
      </c>
      <c r="M366" s="112" t="s">
        <v>99</v>
      </c>
      <c r="N366" s="110" t="str">
        <f t="shared" si="80"/>
        <v>RSPT_</v>
      </c>
      <c r="P366" s="117"/>
      <c r="S366" s="82"/>
      <c r="T366" s="82"/>
      <c r="U366" s="153"/>
    </row>
    <row r="367" spans="1:21" s="110" customFormat="1" outlineLevel="1" x14ac:dyDescent="0.25">
      <c r="A367" s="157" t="s">
        <v>29</v>
      </c>
      <c r="B367" s="157" t="s">
        <v>29</v>
      </c>
      <c r="C367" s="157" t="s">
        <v>29</v>
      </c>
      <c r="D367" s="165" t="str">
        <f t="shared" si="76"/>
        <v xml:space="preserve">Наличие связи с </v>
      </c>
      <c r="E367" s="107"/>
      <c r="F367" s="325"/>
      <c r="G367" s="152"/>
      <c r="H367" s="269"/>
      <c r="I367" s="157">
        <f t="shared" si="77"/>
        <v>4344</v>
      </c>
      <c r="J367" s="107" t="str">
        <f>IF(OR(D367="",D367="-"),"",CONCATENATE("SPT",K367,"/",N367,L367,".",M367))</f>
        <v>SPT103CONNECT/RSPT_GGIO3.Ind16</v>
      </c>
      <c r="K367" s="110" t="str">
        <f t="shared" si="78"/>
        <v>103CONNECT</v>
      </c>
      <c r="L367" s="112" t="str">
        <f t="shared" si="79"/>
        <v>GGIO3</v>
      </c>
      <c r="M367" s="112" t="s">
        <v>100</v>
      </c>
      <c r="N367" s="110" t="str">
        <f t="shared" si="80"/>
        <v>RSPT_</v>
      </c>
      <c r="P367" s="117"/>
      <c r="S367" s="82"/>
      <c r="T367" s="82"/>
      <c r="U367" s="153"/>
    </row>
    <row r="368" spans="1:21" s="110" customFormat="1" outlineLevel="1" x14ac:dyDescent="0.25">
      <c r="A368" s="157" t="s">
        <v>29</v>
      </c>
      <c r="B368" s="157" t="s">
        <v>29</v>
      </c>
      <c r="C368" s="157" t="s">
        <v>29</v>
      </c>
      <c r="D368" s="165" t="str">
        <f t="shared" si="76"/>
        <v xml:space="preserve">Наличие связи с </v>
      </c>
      <c r="E368" s="107"/>
      <c r="F368" s="325"/>
      <c r="G368" s="152"/>
      <c r="H368" s="269"/>
      <c r="I368" s="157">
        <f t="shared" si="77"/>
        <v>4345</v>
      </c>
      <c r="J368" s="107" t="str">
        <f>IF(OR(D368="",D368="-"),"",CONCATENATE("SPT",K368,"/",N368,L368,".",M368))</f>
        <v>SPT103CONNECT/RSPT_GGIO3.Ind17</v>
      </c>
      <c r="K368" s="110" t="str">
        <f t="shared" si="78"/>
        <v>103CONNECT</v>
      </c>
      <c r="L368" s="112" t="str">
        <f t="shared" si="79"/>
        <v>GGIO3</v>
      </c>
      <c r="M368" s="112" t="s">
        <v>101</v>
      </c>
      <c r="N368" s="110" t="str">
        <f t="shared" si="80"/>
        <v>RSPT_</v>
      </c>
      <c r="P368" s="117"/>
      <c r="S368" s="82"/>
      <c r="T368" s="82"/>
      <c r="U368" s="153"/>
    </row>
    <row r="369" spans="1:21" s="110" customFormat="1" outlineLevel="1" x14ac:dyDescent="0.25">
      <c r="A369" s="157" t="s">
        <v>29</v>
      </c>
      <c r="B369" s="157" t="s">
        <v>29</v>
      </c>
      <c r="C369" s="157" t="s">
        <v>29</v>
      </c>
      <c r="D369" s="165" t="str">
        <f t="shared" si="76"/>
        <v xml:space="preserve">Наличие связи с </v>
      </c>
      <c r="E369" s="107"/>
      <c r="F369" s="325"/>
      <c r="G369" s="152"/>
      <c r="H369" s="269"/>
      <c r="I369" s="157">
        <f t="shared" si="77"/>
        <v>4346</v>
      </c>
      <c r="J369" s="107" t="str">
        <f>IF(OR(D369="",D369="-"),"",CONCATENATE("SPT",K369,"/",N369,L369,".",M369))</f>
        <v>SPT103CONNECT/RSPT_GGIO3.Ind18</v>
      </c>
      <c r="K369" s="110" t="str">
        <f t="shared" si="78"/>
        <v>103CONNECT</v>
      </c>
      <c r="L369" s="112" t="str">
        <f t="shared" si="79"/>
        <v>GGIO3</v>
      </c>
      <c r="M369" s="112" t="s">
        <v>102</v>
      </c>
      <c r="N369" s="110" t="str">
        <f t="shared" si="80"/>
        <v>RSPT_</v>
      </c>
      <c r="P369" s="117"/>
      <c r="S369" s="82"/>
      <c r="T369" s="82"/>
      <c r="U369" s="153"/>
    </row>
    <row r="370" spans="1:21" s="110" customFormat="1" outlineLevel="1" x14ac:dyDescent="0.25">
      <c r="A370" s="157" t="s">
        <v>29</v>
      </c>
      <c r="B370" s="157" t="s">
        <v>29</v>
      </c>
      <c r="C370" s="157" t="s">
        <v>29</v>
      </c>
      <c r="D370" s="107" t="str">
        <f t="shared" si="76"/>
        <v xml:space="preserve">Наличие связи с </v>
      </c>
      <c r="E370" s="107"/>
      <c r="F370" s="325"/>
      <c r="G370" s="152"/>
      <c r="H370" s="269"/>
      <c r="I370" s="157">
        <f t="shared" si="77"/>
        <v>4347</v>
      </c>
      <c r="J370" s="107" t="str">
        <f>IF(OR(D370="",D370="-"),"",CONCATENATE("SPT",K370,"/",N370,L370,".",M370))</f>
        <v>SPT103CONNECT/RSPT_GGIO3.Ind19</v>
      </c>
      <c r="K370" s="110" t="str">
        <f t="shared" si="78"/>
        <v>103CONNECT</v>
      </c>
      <c r="L370" s="112" t="str">
        <f t="shared" si="79"/>
        <v>GGIO3</v>
      </c>
      <c r="M370" s="112" t="s">
        <v>326</v>
      </c>
      <c r="N370" s="110" t="str">
        <f t="shared" si="80"/>
        <v>RSPT_</v>
      </c>
      <c r="P370" s="117"/>
      <c r="S370" s="82"/>
      <c r="T370" s="82"/>
      <c r="U370" s="153"/>
    </row>
    <row r="371" spans="1:21" s="110" customFormat="1" outlineLevel="1" x14ac:dyDescent="0.25">
      <c r="A371" s="157" t="s">
        <v>29</v>
      </c>
      <c r="B371" s="157" t="s">
        <v>29</v>
      </c>
      <c r="C371" s="157" t="s">
        <v>29</v>
      </c>
      <c r="D371" s="107" t="str">
        <f t="shared" si="76"/>
        <v xml:space="preserve">Наличие связи с </v>
      </c>
      <c r="E371" s="107"/>
      <c r="F371" s="325"/>
      <c r="G371" s="152"/>
      <c r="H371" s="269"/>
      <c r="I371" s="157">
        <f t="shared" si="77"/>
        <v>4348</v>
      </c>
      <c r="J371" s="107" t="str">
        <f>IF(OR(D371="",D371="-"),"",CONCATENATE("SPT",K371,"/",N371,L371,".",M371))</f>
        <v>SPT103CONNECT/RSPT_GGIO3.Ind20</v>
      </c>
      <c r="K371" s="110" t="str">
        <f t="shared" si="78"/>
        <v>103CONNECT</v>
      </c>
      <c r="L371" s="112" t="str">
        <f t="shared" si="79"/>
        <v>GGIO3</v>
      </c>
      <c r="M371" s="112" t="s">
        <v>327</v>
      </c>
      <c r="N371" s="110" t="str">
        <f t="shared" si="80"/>
        <v>RSPT_</v>
      </c>
      <c r="P371" s="117"/>
      <c r="S371" s="82"/>
      <c r="T371" s="82"/>
      <c r="U371" s="153"/>
    </row>
    <row r="372" spans="1:21" s="110" customFormat="1" outlineLevel="1" x14ac:dyDescent="0.25">
      <c r="A372" s="157" t="s">
        <v>29</v>
      </c>
      <c r="B372" s="157" t="s">
        <v>29</v>
      </c>
      <c r="C372" s="157" t="s">
        <v>29</v>
      </c>
      <c r="D372" s="107" t="str">
        <f t="shared" si="76"/>
        <v xml:space="preserve">Наличие связи с </v>
      </c>
      <c r="E372" s="107"/>
      <c r="F372" s="325"/>
      <c r="G372" s="152"/>
      <c r="H372" s="269"/>
      <c r="I372" s="157">
        <f t="shared" si="77"/>
        <v>4349</v>
      </c>
      <c r="J372" s="107" t="str">
        <f>IF(OR(D372="",D372="-"),"",CONCATENATE("SPT",K372,"/",N372,L372,".",M372))</f>
        <v>SPT103CONNECT/RSPT_GGIO3.Ind21</v>
      </c>
      <c r="K372" s="110" t="str">
        <f t="shared" si="78"/>
        <v>103CONNECT</v>
      </c>
      <c r="L372" s="112" t="str">
        <f t="shared" si="79"/>
        <v>GGIO3</v>
      </c>
      <c r="M372" s="112" t="s">
        <v>488</v>
      </c>
      <c r="N372" s="110" t="str">
        <f t="shared" si="80"/>
        <v>RSPT_</v>
      </c>
      <c r="P372" s="117"/>
      <c r="S372" s="82"/>
      <c r="T372" s="82"/>
      <c r="U372" s="153"/>
    </row>
    <row r="373" spans="1:21" s="110" customFormat="1" outlineLevel="1" x14ac:dyDescent="0.25">
      <c r="A373" s="157" t="s">
        <v>29</v>
      </c>
      <c r="B373" s="157" t="s">
        <v>29</v>
      </c>
      <c r="C373" s="157" t="s">
        <v>29</v>
      </c>
      <c r="D373" s="107" t="str">
        <f t="shared" si="76"/>
        <v xml:space="preserve">Наличие связи с </v>
      </c>
      <c r="E373" s="107"/>
      <c r="F373" s="325"/>
      <c r="G373" s="152"/>
      <c r="H373" s="269"/>
      <c r="I373" s="157">
        <f t="shared" si="77"/>
        <v>4350</v>
      </c>
      <c r="J373" s="107" t="str">
        <f>IF(OR(D373="",D373="-"),"",CONCATENATE("SPT",K373,"/",N373,L373,".",M373))</f>
        <v>SPT103CONNECT/RSPT_GGIO3.Ind22</v>
      </c>
      <c r="K373" s="110" t="str">
        <f t="shared" si="78"/>
        <v>103CONNECT</v>
      </c>
      <c r="L373" s="112" t="str">
        <f t="shared" si="79"/>
        <v>GGIO3</v>
      </c>
      <c r="M373" s="112" t="s">
        <v>489</v>
      </c>
      <c r="N373" s="110" t="str">
        <f t="shared" si="80"/>
        <v>RSPT_</v>
      </c>
      <c r="P373" s="117"/>
      <c r="S373" s="82"/>
      <c r="T373" s="82"/>
      <c r="U373" s="153"/>
    </row>
    <row r="374" spans="1:21" s="110" customFormat="1" outlineLevel="1" x14ac:dyDescent="0.25">
      <c r="A374" s="157" t="s">
        <v>29</v>
      </c>
      <c r="B374" s="157" t="s">
        <v>29</v>
      </c>
      <c r="C374" s="157" t="s">
        <v>29</v>
      </c>
      <c r="D374" s="107" t="str">
        <f t="shared" si="76"/>
        <v xml:space="preserve">Наличие связи с </v>
      </c>
      <c r="E374" s="107"/>
      <c r="F374" s="325"/>
      <c r="G374" s="152"/>
      <c r="H374" s="269"/>
      <c r="I374" s="157">
        <f t="shared" si="77"/>
        <v>4351</v>
      </c>
      <c r="J374" s="107" t="str">
        <f>IF(OR(D374="",D374="-"),"",CONCATENATE("SPT",K374,"/",N374,L374,".",M374))</f>
        <v>SPT103CONNECT/RSPT_GGIO3.Ind23</v>
      </c>
      <c r="K374" s="110" t="str">
        <f t="shared" si="78"/>
        <v>103CONNECT</v>
      </c>
      <c r="L374" s="112" t="str">
        <f t="shared" si="79"/>
        <v>GGIO3</v>
      </c>
      <c r="M374" s="112" t="s">
        <v>490</v>
      </c>
      <c r="N374" s="110" t="str">
        <f t="shared" si="80"/>
        <v>RSPT_</v>
      </c>
      <c r="P374" s="117"/>
      <c r="S374" s="82"/>
      <c r="T374" s="82"/>
      <c r="U374" s="153"/>
    </row>
    <row r="375" spans="1:21" s="110" customFormat="1" outlineLevel="1" x14ac:dyDescent="0.25">
      <c r="A375" s="157" t="s">
        <v>29</v>
      </c>
      <c r="B375" s="157" t="s">
        <v>29</v>
      </c>
      <c r="C375" s="157" t="s">
        <v>29</v>
      </c>
      <c r="D375" s="107" t="str">
        <f t="shared" si="76"/>
        <v xml:space="preserve">Наличие связи с </v>
      </c>
      <c r="E375" s="107"/>
      <c r="F375" s="325"/>
      <c r="G375" s="152"/>
      <c r="H375" s="269"/>
      <c r="I375" s="157">
        <f t="shared" si="77"/>
        <v>4352</v>
      </c>
      <c r="J375" s="107" t="str">
        <f>IF(OR(D375="",D375="-"),"",CONCATENATE("SPT",K375,"/",N375,L375,".",M375))</f>
        <v>SPT103CONNECT/RSPT_GGIO3.Ind24</v>
      </c>
      <c r="K375" s="110" t="str">
        <f t="shared" si="78"/>
        <v>103CONNECT</v>
      </c>
      <c r="L375" s="112" t="str">
        <f t="shared" si="79"/>
        <v>GGIO3</v>
      </c>
      <c r="M375" s="112" t="s">
        <v>491</v>
      </c>
      <c r="N375" s="110" t="str">
        <f t="shared" si="80"/>
        <v>RSPT_</v>
      </c>
      <c r="P375" s="117"/>
      <c r="S375" s="82"/>
      <c r="T375" s="82"/>
      <c r="U375" s="153"/>
    </row>
    <row r="376" spans="1:21" s="110" customFormat="1" outlineLevel="1" x14ac:dyDescent="0.25">
      <c r="A376" s="157" t="s">
        <v>29</v>
      </c>
      <c r="B376" s="157" t="s">
        <v>29</v>
      </c>
      <c r="C376" s="157" t="s">
        <v>29</v>
      </c>
      <c r="D376" s="107" t="str">
        <f t="shared" si="76"/>
        <v xml:space="preserve">Наличие связи с </v>
      </c>
      <c r="E376" s="107"/>
      <c r="F376" s="325"/>
      <c r="G376" s="152"/>
      <c r="H376" s="269"/>
      <c r="I376" s="157">
        <f t="shared" si="77"/>
        <v>4353</v>
      </c>
      <c r="J376" s="107" t="str">
        <f>IF(OR(D376="",D376="-"),"",CONCATENATE("SPT",K376,"/",N376,L376,".",M376))</f>
        <v>SPT103CONNECT/RSPT_GGIO3.Ind25</v>
      </c>
      <c r="K376" s="110" t="str">
        <f t="shared" si="78"/>
        <v>103CONNECT</v>
      </c>
      <c r="L376" s="112" t="str">
        <f t="shared" si="79"/>
        <v>GGIO3</v>
      </c>
      <c r="M376" s="112" t="s">
        <v>492</v>
      </c>
      <c r="N376" s="110" t="str">
        <f t="shared" si="80"/>
        <v>RSPT_</v>
      </c>
      <c r="P376" s="117"/>
      <c r="S376" s="82"/>
      <c r="T376" s="82"/>
      <c r="U376" s="153"/>
    </row>
    <row r="377" spans="1:21" s="110" customFormat="1" outlineLevel="1" x14ac:dyDescent="0.25">
      <c r="A377" s="157" t="s">
        <v>29</v>
      </c>
      <c r="B377" s="157" t="s">
        <v>29</v>
      </c>
      <c r="C377" s="157" t="s">
        <v>29</v>
      </c>
      <c r="D377" s="107" t="str">
        <f t="shared" si="76"/>
        <v xml:space="preserve">Наличие связи с </v>
      </c>
      <c r="E377" s="107"/>
      <c r="F377" s="325"/>
      <c r="G377" s="152"/>
      <c r="H377" s="269"/>
      <c r="I377" s="157">
        <f t="shared" si="77"/>
        <v>4354</v>
      </c>
      <c r="J377" s="107" t="str">
        <f>IF(OR(D377="",D377="-"),"",CONCATENATE("SPT",K377,"/",N377,L377,".",M377))</f>
        <v>SPT103CONNECT/RSPT_GGIO3.Ind26</v>
      </c>
      <c r="K377" s="110" t="str">
        <f t="shared" si="78"/>
        <v>103CONNECT</v>
      </c>
      <c r="L377" s="112" t="str">
        <f t="shared" si="79"/>
        <v>GGIO3</v>
      </c>
      <c r="M377" s="112" t="s">
        <v>493</v>
      </c>
      <c r="N377" s="110" t="str">
        <f t="shared" si="80"/>
        <v>RSPT_</v>
      </c>
      <c r="P377" s="117"/>
      <c r="S377" s="82"/>
      <c r="T377" s="82"/>
      <c r="U377" s="153"/>
    </row>
    <row r="378" spans="1:21" s="110" customFormat="1" outlineLevel="1" x14ac:dyDescent="0.25">
      <c r="A378" s="157" t="s">
        <v>29</v>
      </c>
      <c r="B378" s="157" t="s">
        <v>29</v>
      </c>
      <c r="C378" s="157" t="s">
        <v>29</v>
      </c>
      <c r="D378" s="107" t="str">
        <f t="shared" si="76"/>
        <v xml:space="preserve">Наличие связи с </v>
      </c>
      <c r="E378" s="107"/>
      <c r="F378" s="325"/>
      <c r="G378" s="152"/>
      <c r="H378" s="269"/>
      <c r="I378" s="157">
        <f t="shared" si="77"/>
        <v>4355</v>
      </c>
      <c r="J378" s="107" t="str">
        <f>IF(OR(D378="",D378="-"),"",CONCATENATE("SPT",K378,"/",N378,L378,".",M378))</f>
        <v>SPT103CONNECT/RSPT_GGIO3.Ind27</v>
      </c>
      <c r="K378" s="110" t="str">
        <f t="shared" si="78"/>
        <v>103CONNECT</v>
      </c>
      <c r="L378" s="112" t="str">
        <f t="shared" si="79"/>
        <v>GGIO3</v>
      </c>
      <c r="M378" s="112" t="s">
        <v>494</v>
      </c>
      <c r="N378" s="110" t="str">
        <f t="shared" si="80"/>
        <v>RSPT_</v>
      </c>
      <c r="P378" s="117"/>
      <c r="S378" s="82"/>
      <c r="T378" s="82"/>
      <c r="U378" s="153"/>
    </row>
    <row r="379" spans="1:21" s="110" customFormat="1" outlineLevel="1" x14ac:dyDescent="0.25">
      <c r="A379" s="157" t="s">
        <v>29</v>
      </c>
      <c r="B379" s="157" t="s">
        <v>29</v>
      </c>
      <c r="C379" s="157" t="s">
        <v>29</v>
      </c>
      <c r="D379" s="107" t="str">
        <f t="shared" si="76"/>
        <v xml:space="preserve">Наличие связи с </v>
      </c>
      <c r="E379" s="107"/>
      <c r="F379" s="325"/>
      <c r="G379" s="152"/>
      <c r="H379" s="269"/>
      <c r="I379" s="157">
        <f t="shared" si="77"/>
        <v>4356</v>
      </c>
      <c r="J379" s="107" t="str">
        <f>IF(OR(D379="",D379="-"),"",CONCATENATE("SPT",K379,"/",N379,L379,".",M379))</f>
        <v>SPT103CONNECT/RSPT_GGIO3.Ind28</v>
      </c>
      <c r="K379" s="110" t="str">
        <f t="shared" si="78"/>
        <v>103CONNECT</v>
      </c>
      <c r="L379" s="112" t="str">
        <f t="shared" si="79"/>
        <v>GGIO3</v>
      </c>
      <c r="M379" s="112" t="s">
        <v>495</v>
      </c>
      <c r="N379" s="110" t="str">
        <f t="shared" si="80"/>
        <v>RSPT_</v>
      </c>
      <c r="P379" s="117"/>
      <c r="S379" s="82"/>
      <c r="T379" s="82"/>
      <c r="U379" s="153"/>
    </row>
    <row r="380" spans="1:21" s="110" customFormat="1" outlineLevel="1" x14ac:dyDescent="0.25">
      <c r="A380" s="157" t="s">
        <v>29</v>
      </c>
      <c r="B380" s="157" t="s">
        <v>29</v>
      </c>
      <c r="C380" s="157" t="s">
        <v>29</v>
      </c>
      <c r="D380" s="107" t="str">
        <f t="shared" si="76"/>
        <v xml:space="preserve">Наличие связи с </v>
      </c>
      <c r="E380" s="107"/>
      <c r="F380" s="325"/>
      <c r="G380" s="152"/>
      <c r="H380" s="269"/>
      <c r="I380" s="157">
        <f t="shared" si="77"/>
        <v>4357</v>
      </c>
      <c r="J380" s="107" t="str">
        <f>IF(OR(D380="",D380="-"),"",CONCATENATE("SPT",K380,"/",N380,L380,".",M380))</f>
        <v>SPT103CONNECT/RSPT_GGIO3.Ind29</v>
      </c>
      <c r="K380" s="110" t="str">
        <f t="shared" si="78"/>
        <v>103CONNECT</v>
      </c>
      <c r="L380" s="112" t="str">
        <f t="shared" si="79"/>
        <v>GGIO3</v>
      </c>
      <c r="M380" s="112" t="s">
        <v>562</v>
      </c>
      <c r="N380" s="110" t="str">
        <f t="shared" si="80"/>
        <v>RSPT_</v>
      </c>
      <c r="P380" s="117"/>
      <c r="S380" s="82"/>
      <c r="T380" s="82"/>
      <c r="U380" s="153"/>
    </row>
    <row r="381" spans="1:21" s="110" customFormat="1" outlineLevel="1" x14ac:dyDescent="0.25">
      <c r="A381" s="157" t="s">
        <v>29</v>
      </c>
      <c r="B381" s="157" t="s">
        <v>29</v>
      </c>
      <c r="C381" s="157" t="s">
        <v>29</v>
      </c>
      <c r="D381" s="107" t="str">
        <f t="shared" si="76"/>
        <v xml:space="preserve">Наличие связи с </v>
      </c>
      <c r="E381" s="107"/>
      <c r="F381" s="325"/>
      <c r="G381" s="152"/>
      <c r="H381" s="269"/>
      <c r="I381" s="157">
        <f t="shared" si="77"/>
        <v>4358</v>
      </c>
      <c r="J381" s="107" t="str">
        <f>IF(OR(D381="",D381="-"),"",CONCATENATE("SPT",K381,"/",N381,L381,".",M381))</f>
        <v>SPT103CONNECT/RSPT_GGIO3.Ind30</v>
      </c>
      <c r="K381" s="110" t="str">
        <f t="shared" si="78"/>
        <v>103CONNECT</v>
      </c>
      <c r="L381" s="112" t="str">
        <f t="shared" si="79"/>
        <v>GGIO3</v>
      </c>
      <c r="M381" s="112" t="s">
        <v>563</v>
      </c>
      <c r="N381" s="110" t="str">
        <f t="shared" si="80"/>
        <v>RSPT_</v>
      </c>
      <c r="P381" s="117"/>
      <c r="S381" s="82"/>
      <c r="T381" s="82"/>
      <c r="U381" s="153"/>
    </row>
    <row r="382" spans="1:21" s="110" customFormat="1" outlineLevel="1" x14ac:dyDescent="0.25">
      <c r="A382" s="157" t="s">
        <v>29</v>
      </c>
      <c r="B382" s="157" t="s">
        <v>29</v>
      </c>
      <c r="C382" s="157" t="s">
        <v>29</v>
      </c>
      <c r="D382" s="107" t="str">
        <f t="shared" si="76"/>
        <v xml:space="preserve">Наличие связи с </v>
      </c>
      <c r="E382" s="107"/>
      <c r="F382" s="325"/>
      <c r="G382" s="152"/>
      <c r="H382" s="269"/>
      <c r="I382" s="157">
        <f t="shared" si="77"/>
        <v>4359</v>
      </c>
      <c r="J382" s="107" t="str">
        <f>IF(OR(D382="",D382="-"),"",CONCATENATE("SPT",K382,"/",N382,L382,".",M382))</f>
        <v>SPT103CONNECT/RSPT_GGIO3.Ind31</v>
      </c>
      <c r="K382" s="110" t="str">
        <f t="shared" si="78"/>
        <v>103CONNECT</v>
      </c>
      <c r="L382" s="112" t="str">
        <f t="shared" si="79"/>
        <v>GGIO3</v>
      </c>
      <c r="M382" s="112" t="s">
        <v>564</v>
      </c>
      <c r="N382" s="110" t="str">
        <f t="shared" si="80"/>
        <v>RSPT_</v>
      </c>
      <c r="P382" s="117"/>
      <c r="S382" s="82"/>
      <c r="T382" s="82"/>
      <c r="U382" s="153"/>
    </row>
    <row r="383" spans="1:21" s="110" customFormat="1" outlineLevel="1" x14ac:dyDescent="0.25">
      <c r="A383" s="157" t="s">
        <v>29</v>
      </c>
      <c r="B383" s="157" t="s">
        <v>29</v>
      </c>
      <c r="C383" s="157" t="s">
        <v>29</v>
      </c>
      <c r="D383" s="107" t="str">
        <f t="shared" si="76"/>
        <v xml:space="preserve">Наличие связи с </v>
      </c>
      <c r="E383" s="107"/>
      <c r="F383" s="325"/>
      <c r="G383" s="152"/>
      <c r="H383" s="269"/>
      <c r="I383" s="157">
        <f t="shared" si="77"/>
        <v>4360</v>
      </c>
      <c r="J383" s="107" t="str">
        <f>IF(OR(D383="",D383="-"),"",CONCATENATE("SPT",K383,"/",N383,L383,".",M383))</f>
        <v>SPT103CONNECT/RSPT_GGIO3.Ind32</v>
      </c>
      <c r="K383" s="110" t="str">
        <f t="shared" si="78"/>
        <v>103CONNECT</v>
      </c>
      <c r="L383" s="112" t="str">
        <f t="shared" si="79"/>
        <v>GGIO3</v>
      </c>
      <c r="M383" s="112" t="s">
        <v>565</v>
      </c>
      <c r="N383" s="110" t="str">
        <f t="shared" si="80"/>
        <v>RSPT_</v>
      </c>
      <c r="P383" s="117"/>
      <c r="S383" s="82"/>
      <c r="T383" s="82"/>
      <c r="U383" s="153"/>
    </row>
    <row r="384" spans="1:21" s="110" customFormat="1" outlineLevel="1" x14ac:dyDescent="0.25">
      <c r="A384" s="157" t="s">
        <v>29</v>
      </c>
      <c r="B384" s="157" t="s">
        <v>29</v>
      </c>
      <c r="C384" s="157" t="s">
        <v>29</v>
      </c>
      <c r="D384" s="107" t="str">
        <f t="shared" si="76"/>
        <v xml:space="preserve">Наличие связи с </v>
      </c>
      <c r="E384" s="107"/>
      <c r="F384" s="325"/>
      <c r="G384" s="152"/>
      <c r="H384" s="269"/>
      <c r="I384" s="157">
        <f t="shared" si="77"/>
        <v>4361</v>
      </c>
      <c r="J384" s="107" t="str">
        <f>IF(OR(D384="",D384="-"),"",CONCATENATE("SPT",K384,"/",N384,L384,".",M384))</f>
        <v>SPT103CONNECT/RSPT_GGIO3.Ind53</v>
      </c>
      <c r="K384" s="110" t="str">
        <f t="shared" si="78"/>
        <v>103CONNECT</v>
      </c>
      <c r="L384" s="112" t="str">
        <f t="shared" si="79"/>
        <v>GGIO3</v>
      </c>
      <c r="M384" s="112" t="s">
        <v>567</v>
      </c>
      <c r="N384" s="110" t="str">
        <f t="shared" si="80"/>
        <v>RSPT_</v>
      </c>
      <c r="P384" s="117"/>
      <c r="S384" s="82"/>
      <c r="T384" s="82"/>
      <c r="U384" s="153"/>
    </row>
    <row r="385" spans="1:21" s="110" customFormat="1" outlineLevel="1" x14ac:dyDescent="0.25">
      <c r="A385" s="157" t="s">
        <v>29</v>
      </c>
      <c r="B385" s="157" t="s">
        <v>29</v>
      </c>
      <c r="C385" s="157" t="s">
        <v>29</v>
      </c>
      <c r="D385" s="107" t="str">
        <f t="shared" si="76"/>
        <v>Наличие связи с 2A6.ПульсНС</v>
      </c>
      <c r="E385" s="107" t="s">
        <v>273</v>
      </c>
      <c r="F385" s="325"/>
      <c r="G385" s="116" t="s">
        <v>29</v>
      </c>
      <c r="H385" s="269"/>
      <c r="I385" s="157">
        <f t="shared" si="77"/>
        <v>4362</v>
      </c>
      <c r="J385" s="107" t="str">
        <f>IF(OR(D385="",D385="-"),"",CONCATENATE("SPT",K385,"/",N385,L385,".",M385))</f>
        <v>SPT103CONNECT/RSPT_GGIO3.Ind54</v>
      </c>
      <c r="K385" s="110" t="str">
        <f t="shared" si="78"/>
        <v>103CONNECT</v>
      </c>
      <c r="L385" s="112" t="str">
        <f t="shared" si="79"/>
        <v>GGIO3</v>
      </c>
      <c r="M385" s="112" t="s">
        <v>568</v>
      </c>
      <c r="N385" s="110" t="str">
        <f t="shared" si="80"/>
        <v>RSPT_</v>
      </c>
      <c r="P385" s="117" t="s">
        <v>321</v>
      </c>
      <c r="S385" s="82">
        <f t="shared" si="74"/>
        <v>267</v>
      </c>
      <c r="T385" s="82" t="str">
        <f t="shared" si="75"/>
        <v>lb_dd267</v>
      </c>
      <c r="U385" s="153"/>
    </row>
    <row r="386" spans="1:21" s="110" customFormat="1" outlineLevel="1" x14ac:dyDescent="0.25">
      <c r="A386" s="157" t="s">
        <v>29</v>
      </c>
      <c r="B386" s="157" t="s">
        <v>29</v>
      </c>
      <c r="C386" s="157" t="s">
        <v>29</v>
      </c>
      <c r="D386" s="107" t="str">
        <f t="shared" si="76"/>
        <v>Наличие связи с 2A7.ПульсНС</v>
      </c>
      <c r="E386" s="107" t="s">
        <v>273</v>
      </c>
      <c r="F386" s="325"/>
      <c r="G386" s="116" t="s">
        <v>29</v>
      </c>
      <c r="H386" s="269"/>
      <c r="I386" s="157">
        <f t="shared" si="77"/>
        <v>4363</v>
      </c>
      <c r="J386" s="107" t="str">
        <f>IF(OR(D386="",D386="-"),"",CONCATENATE("SPT",K386,"/",N386,L386,".",M386))</f>
        <v>SPT103CONNECT/RSPT_GGIO3.Ind55</v>
      </c>
      <c r="K386" s="110" t="str">
        <f t="shared" si="78"/>
        <v>103CONNECT</v>
      </c>
      <c r="L386" s="112" t="str">
        <f t="shared" si="79"/>
        <v>GGIO3</v>
      </c>
      <c r="M386" s="112" t="s">
        <v>569</v>
      </c>
      <c r="N386" s="110" t="str">
        <f t="shared" si="80"/>
        <v>RSPT_</v>
      </c>
      <c r="P386" s="117" t="s">
        <v>322</v>
      </c>
      <c r="S386" s="82">
        <f t="shared" si="74"/>
        <v>268</v>
      </c>
      <c r="T386" s="82" t="str">
        <f t="shared" si="75"/>
        <v>lb_dd268</v>
      </c>
      <c r="U386" s="153"/>
    </row>
    <row r="387" spans="1:21" s="110" customFormat="1" outlineLevel="1" x14ac:dyDescent="0.25">
      <c r="A387" s="116" t="s">
        <v>29</v>
      </c>
      <c r="B387" s="116" t="s">
        <v>29</v>
      </c>
      <c r="C387" s="116" t="s">
        <v>29</v>
      </c>
      <c r="D387" s="107" t="str">
        <f t="shared" si="76"/>
        <v>Наличие связи с 2A8.ПульсНС</v>
      </c>
      <c r="E387" s="107" t="s">
        <v>273</v>
      </c>
      <c r="F387" s="325"/>
      <c r="G387" s="116" t="s">
        <v>29</v>
      </c>
      <c r="H387" s="269"/>
      <c r="I387" s="157">
        <f t="shared" si="77"/>
        <v>4364</v>
      </c>
      <c r="J387" s="107" t="str">
        <f>IF(OR(D387="",D387="-"),"",CONCATENATE("SPT",K387,"/",N387,L387,".",M387))</f>
        <v>SPT103CONNECT/RSPT_GGIO3.Ind56</v>
      </c>
      <c r="K387" s="110" t="str">
        <f t="shared" si="78"/>
        <v>103CONNECT</v>
      </c>
      <c r="L387" s="112" t="str">
        <f t="shared" si="79"/>
        <v>GGIO3</v>
      </c>
      <c r="M387" s="112" t="s">
        <v>570</v>
      </c>
      <c r="N387" s="110" t="str">
        <f t="shared" si="80"/>
        <v>RSPT_</v>
      </c>
      <c r="P387" s="117" t="s">
        <v>323</v>
      </c>
      <c r="S387" s="82">
        <f t="shared" si="74"/>
        <v>269</v>
      </c>
      <c r="T387" s="82" t="str">
        <f t="shared" si="75"/>
        <v>lb_dd269</v>
      </c>
      <c r="U387" s="153"/>
    </row>
    <row r="388" spans="1:21" s="110" customFormat="1" outlineLevel="1" x14ac:dyDescent="0.25">
      <c r="A388" s="116" t="s">
        <v>29</v>
      </c>
      <c r="B388" s="116" t="s">
        <v>29</v>
      </c>
      <c r="C388" s="116" t="s">
        <v>29</v>
      </c>
      <c r="D388" s="107" t="str">
        <f t="shared" si="76"/>
        <v>Наличие связи с 2А11.СКИ</v>
      </c>
      <c r="E388" s="107" t="s">
        <v>273</v>
      </c>
      <c r="F388" s="325"/>
      <c r="G388" s="116" t="s">
        <v>29</v>
      </c>
      <c r="H388" s="269"/>
      <c r="I388" s="157">
        <f t="shared" si="77"/>
        <v>4365</v>
      </c>
      <c r="J388" s="107" t="str">
        <f>IF(OR(D388="",D388="-"),"",CONCATENATE("SPT",K388,"/",N388,L388,".",M388))</f>
        <v>SPT103CONNECT/RSPT_GGIO3.Ind57</v>
      </c>
      <c r="K388" s="110" t="str">
        <f t="shared" si="78"/>
        <v>103CONNECT</v>
      </c>
      <c r="L388" s="112" t="str">
        <f t="shared" si="79"/>
        <v>GGIO3</v>
      </c>
      <c r="M388" s="112" t="s">
        <v>571</v>
      </c>
      <c r="N388" s="110" t="str">
        <f t="shared" si="80"/>
        <v>RSPT_</v>
      </c>
      <c r="P388" s="117" t="s">
        <v>325</v>
      </c>
      <c r="S388" s="82">
        <f t="shared" si="74"/>
        <v>270</v>
      </c>
      <c r="T388" s="82" t="str">
        <f t="shared" si="75"/>
        <v>lb_dd270</v>
      </c>
      <c r="U388" s="153"/>
    </row>
    <row r="389" spans="1:21" s="110" customFormat="1" outlineLevel="1" x14ac:dyDescent="0.25">
      <c r="A389" s="116" t="s">
        <v>29</v>
      </c>
      <c r="B389" s="116" t="s">
        <v>29</v>
      </c>
      <c r="C389" s="116" t="s">
        <v>29</v>
      </c>
      <c r="D389" s="107" t="str">
        <f>CONCATENATE("Наличие связи с ",P395)</f>
        <v>Наличие связи с 2А1.КулонСПТ</v>
      </c>
      <c r="E389" s="107" t="s">
        <v>273</v>
      </c>
      <c r="F389" s="325"/>
      <c r="G389" s="116" t="s">
        <v>29</v>
      </c>
      <c r="H389" s="269"/>
      <c r="I389" s="157">
        <f t="shared" si="77"/>
        <v>4366</v>
      </c>
      <c r="J389" s="107" t="str">
        <f>IF(OR(D389="",D389="-"),"",CONCATENATE("SPT",K389,"/",N389,L389,".",M389))</f>
        <v>SPT103CONNECT/RSPT_GGIO3.Ind58</v>
      </c>
      <c r="K389" s="110" t="str">
        <f t="shared" si="78"/>
        <v>103CONNECT</v>
      </c>
      <c r="L389" s="112" t="str">
        <f t="shared" si="79"/>
        <v>GGIO3</v>
      </c>
      <c r="M389" s="112" t="s">
        <v>572</v>
      </c>
      <c r="N389" s="110" t="str">
        <f t="shared" si="80"/>
        <v>RSPT_</v>
      </c>
      <c r="P389" s="98" t="s">
        <v>276</v>
      </c>
      <c r="S389" s="82">
        <f t="shared" si="74"/>
        <v>271</v>
      </c>
      <c r="T389" s="82" t="str">
        <f t="shared" si="75"/>
        <v>lb_dd271</v>
      </c>
      <c r="U389" s="153"/>
    </row>
    <row r="390" spans="1:21" s="110" customFormat="1" outlineLevel="1" x14ac:dyDescent="0.25">
      <c r="A390" s="116" t="s">
        <v>29</v>
      </c>
      <c r="B390" s="116" t="s">
        <v>29</v>
      </c>
      <c r="C390" s="116" t="s">
        <v>29</v>
      </c>
      <c r="D390" s="107" t="str">
        <f>CONCATENATE("Наличие связи с ",P393)</f>
        <v>Наличие связи с 2PA1</v>
      </c>
      <c r="E390" s="107" t="s">
        <v>273</v>
      </c>
      <c r="F390" s="325"/>
      <c r="G390" s="116" t="s">
        <v>29</v>
      </c>
      <c r="H390" s="269"/>
      <c r="I390" s="157">
        <f t="shared" si="77"/>
        <v>4367</v>
      </c>
      <c r="J390" s="107" t="str">
        <f>IF(OR(D390="",D390="-"),"",CONCATENATE("SPT",K390,"/",N390,L390,".",M390))</f>
        <v>SPT103CONNECT/RSPT_GGIO3.Ind59</v>
      </c>
      <c r="K390" s="110" t="str">
        <f t="shared" si="78"/>
        <v>103CONNECT</v>
      </c>
      <c r="L390" s="112" t="str">
        <f t="shared" si="79"/>
        <v>GGIO3</v>
      </c>
      <c r="M390" s="112" t="s">
        <v>573</v>
      </c>
      <c r="N390" s="110" t="str">
        <f t="shared" si="80"/>
        <v>RSPT_</v>
      </c>
      <c r="P390" s="98" t="s">
        <v>277</v>
      </c>
      <c r="S390" s="82">
        <f t="shared" si="74"/>
        <v>272</v>
      </c>
      <c r="T390" s="82" t="str">
        <f t="shared" si="75"/>
        <v>lb_dd272</v>
      </c>
      <c r="U390" s="153"/>
    </row>
    <row r="391" spans="1:21" s="110" customFormat="1" outlineLevel="1" x14ac:dyDescent="0.25">
      <c r="A391" s="116" t="s">
        <v>29</v>
      </c>
      <c r="B391" s="116" t="s">
        <v>29</v>
      </c>
      <c r="C391" s="116" t="s">
        <v>29</v>
      </c>
      <c r="D391" s="107" t="str">
        <f>CONCATENATE("Наличие связи с ",P394)</f>
        <v>Наличие связи с 2PV1</v>
      </c>
      <c r="E391" s="107" t="s">
        <v>273</v>
      </c>
      <c r="F391" s="325"/>
      <c r="G391" s="116" t="s">
        <v>29</v>
      </c>
      <c r="H391" s="269"/>
      <c r="I391" s="157">
        <f t="shared" si="77"/>
        <v>4368</v>
      </c>
      <c r="J391" s="107" t="str">
        <f>IF(OR(D391="",D391="-"),"",CONCATENATE("SPT",K391,"/",N391,L391,".",M391))</f>
        <v>SPT103CONNECT/RSPT_GGIO3.Ind60</v>
      </c>
      <c r="K391" s="110" t="str">
        <f t="shared" si="78"/>
        <v>103CONNECT</v>
      </c>
      <c r="L391" s="112" t="str">
        <f t="shared" si="79"/>
        <v>GGIO3</v>
      </c>
      <c r="M391" s="112" t="s">
        <v>574</v>
      </c>
      <c r="N391" s="110" t="str">
        <f t="shared" si="80"/>
        <v>RSPT_</v>
      </c>
      <c r="P391" s="98" t="s">
        <v>278</v>
      </c>
      <c r="S391" s="82">
        <f t="shared" si="74"/>
        <v>273</v>
      </c>
      <c r="T391" s="82" t="str">
        <f t="shared" si="75"/>
        <v>lb_dd273</v>
      </c>
      <c r="U391" s="153"/>
    </row>
    <row r="392" spans="1:21" s="110" customFormat="1" outlineLevel="1" x14ac:dyDescent="0.25">
      <c r="A392" s="116" t="s">
        <v>29</v>
      </c>
      <c r="B392" s="116" t="s">
        <v>29</v>
      </c>
      <c r="C392" s="116" t="s">
        <v>29</v>
      </c>
      <c r="D392" s="107" t="str">
        <f>CONCATENATE("Наличие связи с ",P389)</f>
        <v>Наличие связи с 1PV1</v>
      </c>
      <c r="E392" s="107" t="s">
        <v>273</v>
      </c>
      <c r="F392" s="325"/>
      <c r="G392" s="116" t="s">
        <v>29</v>
      </c>
      <c r="H392" s="269"/>
      <c r="I392" s="157">
        <f t="shared" si="77"/>
        <v>4369</v>
      </c>
      <c r="J392" s="107" t="str">
        <f>IF(OR(D392="",D392="-"),"",CONCATENATE("SPT",K392,"/",N392,L392,".",M392))</f>
        <v>SPT103CONNECT/RSPT_GGIO3.Ind61</v>
      </c>
      <c r="K392" s="110" t="str">
        <f t="shared" si="78"/>
        <v>103CONNECT</v>
      </c>
      <c r="L392" s="112" t="str">
        <f t="shared" si="79"/>
        <v>GGIO3</v>
      </c>
      <c r="M392" s="112" t="s">
        <v>575</v>
      </c>
      <c r="N392" s="110" t="str">
        <f t="shared" si="80"/>
        <v>RSPT_</v>
      </c>
      <c r="P392" s="98" t="s">
        <v>279</v>
      </c>
      <c r="S392" s="82">
        <f t="shared" si="74"/>
        <v>274</v>
      </c>
      <c r="T392" s="82" t="str">
        <f t="shared" si="75"/>
        <v>lb_dd274</v>
      </c>
      <c r="U392" s="153"/>
    </row>
    <row r="393" spans="1:21" s="110" customFormat="1" outlineLevel="1" x14ac:dyDescent="0.25">
      <c r="A393" s="116" t="s">
        <v>29</v>
      </c>
      <c r="B393" s="116" t="s">
        <v>29</v>
      </c>
      <c r="C393" s="116" t="s">
        <v>29</v>
      </c>
      <c r="D393" s="107" t="str">
        <f>CONCATENATE("Наличие связи с ",P390)</f>
        <v>Наличие связи с 1PV2</v>
      </c>
      <c r="E393" s="107" t="s">
        <v>273</v>
      </c>
      <c r="F393" s="325"/>
      <c r="G393" s="116" t="s">
        <v>29</v>
      </c>
      <c r="H393" s="269"/>
      <c r="I393" s="157">
        <f t="shared" si="77"/>
        <v>4370</v>
      </c>
      <c r="J393" s="107" t="str">
        <f>IF(OR(D393="",D393="-"),"",CONCATENATE("SPT",K393,"/",N393,L393,".",M393))</f>
        <v>SPT103CONNECT/RSPT_GGIO3.Ind62</v>
      </c>
      <c r="K393" s="110" t="str">
        <f t="shared" si="78"/>
        <v>103CONNECT</v>
      </c>
      <c r="L393" s="112" t="str">
        <f t="shared" si="79"/>
        <v>GGIO3</v>
      </c>
      <c r="M393" s="112" t="s">
        <v>576</v>
      </c>
      <c r="N393" s="110" t="str">
        <f t="shared" si="80"/>
        <v>RSPT_</v>
      </c>
      <c r="P393" s="98" t="s">
        <v>280</v>
      </c>
      <c r="S393" s="82">
        <f t="shared" si="74"/>
        <v>275</v>
      </c>
      <c r="T393" s="82" t="str">
        <f t="shared" si="75"/>
        <v>lb_dd275</v>
      </c>
      <c r="U393" s="153"/>
    </row>
    <row r="394" spans="1:21" s="110" customFormat="1" outlineLevel="1" x14ac:dyDescent="0.25">
      <c r="A394" s="116" t="s">
        <v>29</v>
      </c>
      <c r="B394" s="116" t="s">
        <v>29</v>
      </c>
      <c r="C394" s="116" t="s">
        <v>29</v>
      </c>
      <c r="D394" s="107" t="str">
        <f>CONCATENATE("Наличие связи с ",P391)</f>
        <v>Наличие связи с 1PV3</v>
      </c>
      <c r="E394" s="107" t="s">
        <v>273</v>
      </c>
      <c r="F394" s="325"/>
      <c r="G394" s="116" t="s">
        <v>29</v>
      </c>
      <c r="H394" s="269"/>
      <c r="I394" s="157">
        <f t="shared" si="77"/>
        <v>4371</v>
      </c>
      <c r="J394" s="107" t="str">
        <f>IF(OR(D394="",D394="-"),"",CONCATENATE("SPT",K394,"/",N394,L394,".",M394))</f>
        <v>SPT103CONNECT/RSPT_GGIO3.Ind63</v>
      </c>
      <c r="K394" s="110" t="str">
        <f t="shared" si="78"/>
        <v>103CONNECT</v>
      </c>
      <c r="L394" s="112" t="str">
        <f t="shared" si="79"/>
        <v>GGIO3</v>
      </c>
      <c r="M394" s="112" t="s">
        <v>577</v>
      </c>
      <c r="N394" s="110" t="str">
        <f t="shared" si="80"/>
        <v>RSPT_</v>
      </c>
      <c r="P394" s="98" t="s">
        <v>61</v>
      </c>
      <c r="S394" s="82">
        <f t="shared" si="74"/>
        <v>276</v>
      </c>
      <c r="T394" s="82" t="str">
        <f t="shared" si="75"/>
        <v>lb_dd276</v>
      </c>
      <c r="U394" s="153"/>
    </row>
    <row r="395" spans="1:21" s="110" customFormat="1" outlineLevel="1" x14ac:dyDescent="0.25">
      <c r="A395" s="116" t="s">
        <v>29</v>
      </c>
      <c r="B395" s="116" t="s">
        <v>29</v>
      </c>
      <c r="C395" s="116" t="s">
        <v>29</v>
      </c>
      <c r="D395" s="107" t="str">
        <f>CONCATENATE("Наличие связи с ",P392)</f>
        <v>Наличие связи с 1PV4</v>
      </c>
      <c r="E395" s="107" t="s">
        <v>273</v>
      </c>
      <c r="F395" s="325"/>
      <c r="G395" s="116" t="s">
        <v>29</v>
      </c>
      <c r="H395" s="269"/>
      <c r="I395" s="157">
        <f t="shared" si="77"/>
        <v>4372</v>
      </c>
      <c r="J395" s="107" t="str">
        <f>IF(OR(D395="",D395="-"),"",CONCATENATE("SPT",K395,"/",N395,L395,".",M395))</f>
        <v>SPT103CONNECT/RSPT_GGIO3.Ind64</v>
      </c>
      <c r="K395" s="110" t="str">
        <f t="shared" si="78"/>
        <v>103CONNECT</v>
      </c>
      <c r="L395" s="112" t="str">
        <f t="shared" si="79"/>
        <v>GGIO3</v>
      </c>
      <c r="M395" s="112" t="s">
        <v>578</v>
      </c>
      <c r="N395" s="110" t="str">
        <f t="shared" si="80"/>
        <v>RSPT_</v>
      </c>
      <c r="P395" s="117" t="s">
        <v>324</v>
      </c>
      <c r="S395" s="82">
        <f t="shared" si="74"/>
        <v>277</v>
      </c>
      <c r="T395" s="82" t="str">
        <f t="shared" si="75"/>
        <v>lb_dd277</v>
      </c>
      <c r="U395" s="153"/>
    </row>
    <row r="396" spans="1:21" s="110" customFormat="1" outlineLevel="1" x14ac:dyDescent="0.25">
      <c r="A396" s="116" t="s">
        <v>29</v>
      </c>
      <c r="B396" s="116" t="s">
        <v>29</v>
      </c>
      <c r="C396" s="116" t="s">
        <v>29</v>
      </c>
      <c r="D396" s="107" t="str">
        <f t="shared" si="76"/>
        <v>Наличие связи с UG1.ЗВУ1</v>
      </c>
      <c r="E396" s="107" t="s">
        <v>273</v>
      </c>
      <c r="F396" s="325"/>
      <c r="G396" s="116" t="s">
        <v>29</v>
      </c>
      <c r="H396" s="269"/>
      <c r="I396" s="157">
        <f t="shared" si="77"/>
        <v>4373</v>
      </c>
      <c r="J396" s="107" t="str">
        <f>IF(OR(D396="",D396="-"),"",CONCATENATE("SPT",K396,"/",N396,L396,".",M396))</f>
        <v>SPT103CONNECT/RSPT_GGIO3.Ind65</v>
      </c>
      <c r="K396" s="110" t="str">
        <f t="shared" si="78"/>
        <v>103CONNECT</v>
      </c>
      <c r="L396" s="112" t="str">
        <f t="shared" si="79"/>
        <v>GGIO3</v>
      </c>
      <c r="M396" s="112" t="s">
        <v>579</v>
      </c>
      <c r="N396" s="110" t="str">
        <f t="shared" si="80"/>
        <v>RSPT_</v>
      </c>
      <c r="P396" s="117" t="s">
        <v>240</v>
      </c>
      <c r="S396" s="82">
        <f t="shared" si="74"/>
        <v>278</v>
      </c>
      <c r="T396" s="82" t="str">
        <f t="shared" si="75"/>
        <v>lb_dd278</v>
      </c>
      <c r="U396" s="153"/>
    </row>
    <row r="397" spans="1:21" s="110" customFormat="1" outlineLevel="1" x14ac:dyDescent="0.25">
      <c r="A397" s="116" t="s">
        <v>29</v>
      </c>
      <c r="B397" s="116" t="s">
        <v>29</v>
      </c>
      <c r="C397" s="116" t="s">
        <v>29</v>
      </c>
      <c r="D397" s="107" t="str">
        <f t="shared" si="76"/>
        <v>Наличие связи с UG2.ЗВУ2</v>
      </c>
      <c r="E397" s="107" t="s">
        <v>273</v>
      </c>
      <c r="F397" s="325"/>
      <c r="G397" s="116" t="s">
        <v>29</v>
      </c>
      <c r="H397" s="269"/>
      <c r="I397" s="157">
        <f t="shared" si="77"/>
        <v>4374</v>
      </c>
      <c r="J397" s="107" t="str">
        <f>IF(OR(D397="",D397="-"),"",CONCATENATE("SPT",K397,"/",N397,L397,".",M397))</f>
        <v>SPT103CONNECT/RSPT_GGIO3.Ind33</v>
      </c>
      <c r="K397" s="110" t="str">
        <f t="shared" si="78"/>
        <v>103CONNECT</v>
      </c>
      <c r="L397" s="112" t="str">
        <f t="shared" si="79"/>
        <v>GGIO3</v>
      </c>
      <c r="M397" s="112" t="s">
        <v>566</v>
      </c>
      <c r="N397" s="110" t="str">
        <f t="shared" si="80"/>
        <v>RSPT_</v>
      </c>
      <c r="P397" s="117" t="s">
        <v>275</v>
      </c>
      <c r="S397" s="82">
        <f t="shared" si="74"/>
        <v>279</v>
      </c>
      <c r="T397" s="82" t="str">
        <f t="shared" si="75"/>
        <v>lb_dd279</v>
      </c>
      <c r="U397" s="153"/>
    </row>
    <row r="398" spans="1:21" x14ac:dyDescent="0.25">
      <c r="A398" s="255"/>
      <c r="B398" s="256"/>
      <c r="C398" s="256"/>
      <c r="D398" s="256"/>
      <c r="E398" s="256"/>
      <c r="F398" s="256"/>
      <c r="G398" s="256"/>
      <c r="H398" s="256"/>
      <c r="I398" s="256"/>
      <c r="J398" s="257"/>
    </row>
    <row r="399" spans="1:21" x14ac:dyDescent="0.25">
      <c r="A399" s="176" t="s">
        <v>340</v>
      </c>
      <c r="B399" s="176"/>
      <c r="C399" s="176"/>
      <c r="D399" s="176"/>
      <c r="E399" s="176"/>
      <c r="F399" s="176"/>
      <c r="G399" s="176"/>
      <c r="H399" s="176"/>
      <c r="I399" s="176"/>
      <c r="J399" s="176"/>
    </row>
    <row r="400" spans="1:21" x14ac:dyDescent="0.25">
      <c r="A400" s="116" t="s">
        <v>29</v>
      </c>
      <c r="B400" s="116" t="s">
        <v>29</v>
      </c>
      <c r="C400" s="116" t="s">
        <v>29</v>
      </c>
      <c r="D400" s="107" t="s">
        <v>340</v>
      </c>
      <c r="E400" s="107" t="s">
        <v>4</v>
      </c>
      <c r="F400" s="92"/>
      <c r="G400" s="116" t="s">
        <v>29</v>
      </c>
      <c r="H400" s="92"/>
      <c r="I400" s="116">
        <v>4351</v>
      </c>
      <c r="J400" s="107" t="str">
        <f>IF(OR(D400="",D400="-"),"",CONCATENATE("SPT021",K400,"/",L400,".",M400))</f>
        <v>SPT021MONSYSALM/GGIO1.Alm1</v>
      </c>
      <c r="K400" s="153" t="s">
        <v>580</v>
      </c>
      <c r="L400" s="112" t="s">
        <v>244</v>
      </c>
      <c r="M400" s="163" t="s">
        <v>37</v>
      </c>
      <c r="S400" s="82">
        <f t="shared" ref="S400" si="81">I400-4095</f>
        <v>256</v>
      </c>
      <c r="T400" s="82" t="str">
        <f t="shared" ref="T400" si="82">_xlfn.CONCAT($T$1,S400)</f>
        <v>lb_dd256</v>
      </c>
    </row>
    <row r="401" spans="1:25" x14ac:dyDescent="0.25">
      <c r="A401" s="184"/>
      <c r="B401" s="185"/>
      <c r="C401" s="186"/>
      <c r="D401" s="185"/>
      <c r="E401" s="185"/>
      <c r="F401" s="185"/>
      <c r="G401" s="185"/>
      <c r="H401" s="185"/>
      <c r="I401" s="187"/>
      <c r="J401" s="188"/>
    </row>
    <row r="402" spans="1:25" x14ac:dyDescent="0.25">
      <c r="A402" s="189"/>
      <c r="B402" s="122"/>
      <c r="C402" s="190"/>
      <c r="D402" s="122"/>
      <c r="E402" s="122"/>
      <c r="F402" s="122"/>
      <c r="G402" s="122"/>
      <c r="H402" s="122"/>
      <c r="I402" s="191"/>
      <c r="J402" s="192"/>
    </row>
    <row r="403" spans="1:25" x14ac:dyDescent="0.25">
      <c r="A403" s="193"/>
      <c r="B403" s="194"/>
      <c r="C403" s="195"/>
      <c r="D403" s="194"/>
      <c r="E403" s="194"/>
      <c r="F403" s="194"/>
      <c r="G403" s="194"/>
      <c r="H403" s="194"/>
      <c r="I403" s="196"/>
      <c r="J403" s="197"/>
    </row>
    <row r="404" spans="1:25" x14ac:dyDescent="0.25">
      <c r="A404" s="261"/>
      <c r="B404" s="262"/>
      <c r="C404" s="262"/>
      <c r="D404" s="262"/>
      <c r="E404" s="262"/>
      <c r="F404" s="262"/>
      <c r="G404" s="262"/>
      <c r="H404" s="262"/>
      <c r="I404" s="262"/>
      <c r="J404" s="263"/>
      <c r="K404" s="111"/>
      <c r="L404" s="142"/>
      <c r="M404" s="142"/>
      <c r="N404" s="110"/>
      <c r="O404" s="110"/>
      <c r="P404" s="117"/>
      <c r="Q404" s="110"/>
      <c r="R404" s="110"/>
      <c r="S404" s="110"/>
      <c r="T404" s="110"/>
      <c r="U404" s="110"/>
      <c r="V404" s="110"/>
      <c r="W404" s="110"/>
      <c r="X404" s="110"/>
      <c r="Y404" s="110"/>
    </row>
    <row r="405" spans="1:25" x14ac:dyDescent="0.25">
      <c r="A405" s="265" t="s">
        <v>539</v>
      </c>
      <c r="B405" s="266"/>
      <c r="C405" s="266"/>
      <c r="D405" s="266"/>
      <c r="E405" s="266"/>
      <c r="F405" s="266"/>
      <c r="G405" s="266"/>
      <c r="H405" s="266"/>
      <c r="I405" s="266"/>
      <c r="J405" s="267"/>
    </row>
    <row r="406" spans="1:25" x14ac:dyDescent="0.25">
      <c r="A406" s="268" t="s">
        <v>59</v>
      </c>
      <c r="B406" s="268" t="s">
        <v>3</v>
      </c>
      <c r="C406" s="128" t="s">
        <v>12</v>
      </c>
      <c r="D406" s="87" t="s">
        <v>529</v>
      </c>
      <c r="E406" s="91" t="s">
        <v>537</v>
      </c>
      <c r="F406" s="271" t="s">
        <v>30</v>
      </c>
      <c r="G406" s="269" t="s">
        <v>338</v>
      </c>
      <c r="H406" s="270" t="s">
        <v>3</v>
      </c>
      <c r="I406" s="115">
        <v>4229</v>
      </c>
      <c r="J406" s="107" t="str">
        <f>IF(OR(D406="",D406="-"),"",CONCATENATE("SPT",K406,"/",N406,L406,".",M406))</f>
        <v>SPT103RSPT/MSPSA3GGIO2.AnIn1</v>
      </c>
      <c r="K406" s="177" t="s">
        <v>590</v>
      </c>
      <c r="L406" s="178" t="s">
        <v>245</v>
      </c>
      <c r="M406" s="82" t="s">
        <v>51</v>
      </c>
      <c r="N406" s="179" t="s">
        <v>560</v>
      </c>
      <c r="S406" s="82">
        <f t="shared" ref="S406:S434" si="83">I406-4095</f>
        <v>134</v>
      </c>
      <c r="T406" s="82" t="str">
        <f t="shared" ref="T406:T434" si="84">_xlfn.CONCAT($T$1,S406)</f>
        <v>lb_dd134</v>
      </c>
      <c r="X406" s="82">
        <v>1</v>
      </c>
    </row>
    <row r="407" spans="1:25" x14ac:dyDescent="0.25">
      <c r="A407" s="268"/>
      <c r="B407" s="268"/>
      <c r="C407" s="128" t="s">
        <v>8</v>
      </c>
      <c r="D407" s="87" t="s">
        <v>530</v>
      </c>
      <c r="E407" s="87" t="s">
        <v>537</v>
      </c>
      <c r="F407" s="271"/>
      <c r="G407" s="269"/>
      <c r="H407" s="270"/>
      <c r="I407" s="115">
        <v>4230</v>
      </c>
      <c r="J407" s="107" t="str">
        <f>IF(OR(D407="",D407="-"),"",CONCATENATE("SPT",K407,"/",N407,L407,".",M407))</f>
        <v>SPT103RSPT/MSPSA3GGIO2.AnIn2</v>
      </c>
      <c r="K407" s="103" t="str">
        <f>K406</f>
        <v>103RSPT</v>
      </c>
      <c r="L407" s="104" t="str">
        <f>L406</f>
        <v>GGIO2</v>
      </c>
      <c r="M407" s="82" t="s">
        <v>52</v>
      </c>
      <c r="N407" s="82" t="str">
        <f>N406</f>
        <v>MSPSA3</v>
      </c>
      <c r="S407" s="82">
        <f t="shared" si="83"/>
        <v>135</v>
      </c>
      <c r="T407" s="82" t="str">
        <f t="shared" si="84"/>
        <v>lb_dd135</v>
      </c>
      <c r="X407" s="82">
        <v>2</v>
      </c>
    </row>
    <row r="408" spans="1:25" x14ac:dyDescent="0.25">
      <c r="A408" s="268"/>
      <c r="B408" s="268"/>
      <c r="C408" s="128" t="s">
        <v>9</v>
      </c>
      <c r="D408" s="87" t="s">
        <v>531</v>
      </c>
      <c r="E408" s="87" t="s">
        <v>537</v>
      </c>
      <c r="F408" s="271"/>
      <c r="G408" s="269"/>
      <c r="H408" s="270"/>
      <c r="I408" s="115">
        <v>4231</v>
      </c>
      <c r="J408" s="107" t="str">
        <f>IF(OR(D408="",D408="-"),"",CONCATENATE("SPT",K408,"/",N408,L408,".",M408))</f>
        <v>SPT103RSPT/MSPSA3GGIO2.AnIn3</v>
      </c>
      <c r="K408" s="103" t="str">
        <f t="shared" ref="K408:K434" si="85">K407</f>
        <v>103RSPT</v>
      </c>
      <c r="L408" s="104" t="str">
        <f t="shared" ref="L408:L434" si="86">L407</f>
        <v>GGIO2</v>
      </c>
      <c r="M408" s="82" t="s">
        <v>53</v>
      </c>
      <c r="N408" s="82" t="str">
        <f t="shared" ref="N408:N434" si="87">N407</f>
        <v>MSPSA3</v>
      </c>
      <c r="S408" s="82">
        <f t="shared" si="83"/>
        <v>136</v>
      </c>
      <c r="T408" s="82" t="str">
        <f t="shared" si="84"/>
        <v>lb_dd136</v>
      </c>
      <c r="X408" s="82">
        <v>3</v>
      </c>
    </row>
    <row r="409" spans="1:25" x14ac:dyDescent="0.25">
      <c r="A409" s="268"/>
      <c r="B409" s="268"/>
      <c r="C409" s="128" t="s">
        <v>13</v>
      </c>
      <c r="D409" s="87" t="s">
        <v>202</v>
      </c>
      <c r="E409" s="87" t="s">
        <v>537</v>
      </c>
      <c r="F409" s="271"/>
      <c r="G409" s="269"/>
      <c r="H409" s="270"/>
      <c r="I409" s="115">
        <v>4232</v>
      </c>
      <c r="J409" s="107" t="str">
        <f>IF(OR(D409="",D409="-"),"",CONCATENATE("SPT",K409,"/",N409,L409,".",M409))</f>
        <v>SPT103RSPT/MSPSA3GGIO2.AnIn4</v>
      </c>
      <c r="K409" s="103" t="str">
        <f t="shared" si="85"/>
        <v>103RSPT</v>
      </c>
      <c r="L409" s="104" t="str">
        <f t="shared" si="86"/>
        <v>GGIO2</v>
      </c>
      <c r="M409" s="82" t="s">
        <v>54</v>
      </c>
      <c r="N409" s="82" t="str">
        <f t="shared" si="87"/>
        <v>MSPSA3</v>
      </c>
      <c r="S409" s="82">
        <f t="shared" si="83"/>
        <v>137</v>
      </c>
      <c r="T409" s="82" t="str">
        <f t="shared" si="84"/>
        <v>lb_dd137</v>
      </c>
      <c r="X409" s="82">
        <v>4</v>
      </c>
    </row>
    <row r="410" spans="1:25" x14ac:dyDescent="0.25">
      <c r="A410" s="268"/>
      <c r="B410" s="268"/>
      <c r="C410" s="128" t="s">
        <v>15</v>
      </c>
      <c r="D410" s="87" t="s">
        <v>532</v>
      </c>
      <c r="E410" s="87" t="s">
        <v>537</v>
      </c>
      <c r="F410" s="271"/>
      <c r="G410" s="269"/>
      <c r="H410" s="270"/>
      <c r="I410" s="115">
        <v>4233</v>
      </c>
      <c r="J410" s="107" t="str">
        <f>IF(OR(D410="",D410="-"),"",CONCATENATE("SPT",K410,"/",N410,L410,".",M410))</f>
        <v>SPT103RSPT/MSPSA3GGIO2.AnIn5</v>
      </c>
      <c r="K410" s="103" t="str">
        <f t="shared" si="85"/>
        <v>103RSPT</v>
      </c>
      <c r="L410" s="104" t="str">
        <f t="shared" si="86"/>
        <v>GGIO2</v>
      </c>
      <c r="M410" s="82" t="s">
        <v>77</v>
      </c>
      <c r="N410" s="82" t="str">
        <f t="shared" si="87"/>
        <v>MSPSA3</v>
      </c>
      <c r="S410" s="82">
        <f t="shared" si="83"/>
        <v>138</v>
      </c>
      <c r="T410" s="82" t="str">
        <f t="shared" si="84"/>
        <v>lb_dd138</v>
      </c>
      <c r="X410" s="82">
        <v>5</v>
      </c>
    </row>
    <row r="411" spans="1:25" x14ac:dyDescent="0.25">
      <c r="A411" s="268"/>
      <c r="B411" s="268"/>
      <c r="C411" s="128" t="s">
        <v>22</v>
      </c>
      <c r="D411" s="87" t="s">
        <v>533</v>
      </c>
      <c r="E411" s="87" t="s">
        <v>537</v>
      </c>
      <c r="F411" s="271"/>
      <c r="G411" s="269"/>
      <c r="H411" s="270"/>
      <c r="I411" s="115">
        <v>4234</v>
      </c>
      <c r="J411" s="107" t="str">
        <f>IF(OR(D411="",D411="-"),"",CONCATENATE("SPT",K411,"/",N411,L411,".",M411))</f>
        <v>SPT103RSPT/MSPSA3GGIO2.AnIn6</v>
      </c>
      <c r="K411" s="103" t="str">
        <f t="shared" si="85"/>
        <v>103RSPT</v>
      </c>
      <c r="L411" s="104" t="str">
        <f t="shared" si="86"/>
        <v>GGIO2</v>
      </c>
      <c r="M411" s="82" t="s">
        <v>556</v>
      </c>
      <c r="N411" s="82" t="str">
        <f t="shared" si="87"/>
        <v>MSPSA3</v>
      </c>
      <c r="S411" s="82">
        <f t="shared" si="83"/>
        <v>139</v>
      </c>
      <c r="T411" s="82" t="str">
        <f t="shared" si="84"/>
        <v>lb_dd139</v>
      </c>
      <c r="X411" s="82">
        <v>6</v>
      </c>
    </row>
    <row r="412" spans="1:25" x14ac:dyDescent="0.25">
      <c r="A412" s="268"/>
      <c r="B412" s="268"/>
      <c r="C412" s="128" t="s">
        <v>23</v>
      </c>
      <c r="D412" s="87" t="s">
        <v>534</v>
      </c>
      <c r="E412" s="87" t="s">
        <v>537</v>
      </c>
      <c r="F412" s="271"/>
      <c r="G412" s="269"/>
      <c r="H412" s="270"/>
      <c r="I412" s="115">
        <v>4235</v>
      </c>
      <c r="J412" s="107" t="str">
        <f>IF(OR(D412="",D412="-"),"",CONCATENATE("SPT",K412,"/",N412,L412,".",M412))</f>
        <v>SPT103RSPT/MSPSA3GGIO2.AnIn7</v>
      </c>
      <c r="K412" s="103" t="str">
        <f t="shared" si="85"/>
        <v>103RSPT</v>
      </c>
      <c r="L412" s="104" t="str">
        <f t="shared" si="86"/>
        <v>GGIO2</v>
      </c>
      <c r="M412" s="82" t="s">
        <v>557</v>
      </c>
      <c r="N412" s="82" t="str">
        <f t="shared" si="87"/>
        <v>MSPSA3</v>
      </c>
      <c r="S412" s="82">
        <f t="shared" si="83"/>
        <v>140</v>
      </c>
      <c r="T412" s="82" t="str">
        <f t="shared" si="84"/>
        <v>lb_dd140</v>
      </c>
      <c r="X412" s="82">
        <v>7</v>
      </c>
    </row>
    <row r="413" spans="1:25" x14ac:dyDescent="0.25">
      <c r="A413" s="268"/>
      <c r="B413" s="268"/>
      <c r="C413" s="128" t="s">
        <v>24</v>
      </c>
      <c r="D413" s="87" t="s">
        <v>535</v>
      </c>
      <c r="E413" s="87" t="s">
        <v>537</v>
      </c>
      <c r="F413" s="271"/>
      <c r="G413" s="269"/>
      <c r="H413" s="270"/>
      <c r="I413" s="115">
        <v>4236</v>
      </c>
      <c r="J413" s="107" t="str">
        <f>IF(OR(D413="",D413="-"),"",CONCATENATE("SPT",K413,"/",N413,L413,".",M413))</f>
        <v>SPT103RSPT/MSPSA3GGIO2.AnIn8</v>
      </c>
      <c r="K413" s="103" t="str">
        <f t="shared" si="85"/>
        <v>103RSPT</v>
      </c>
      <c r="L413" s="104" t="str">
        <f t="shared" si="86"/>
        <v>GGIO2</v>
      </c>
      <c r="M413" s="82" t="s">
        <v>558</v>
      </c>
      <c r="N413" s="82" t="str">
        <f t="shared" si="87"/>
        <v>MSPSA3</v>
      </c>
      <c r="S413" s="82">
        <f t="shared" si="83"/>
        <v>141</v>
      </c>
      <c r="T413" s="82" t="str">
        <f t="shared" si="84"/>
        <v>lb_dd141</v>
      </c>
      <c r="X413" s="82">
        <v>8</v>
      </c>
    </row>
    <row r="414" spans="1:25" x14ac:dyDescent="0.25">
      <c r="A414" s="268"/>
      <c r="B414" s="268"/>
      <c r="C414" s="128" t="s">
        <v>31</v>
      </c>
      <c r="D414" s="87" t="s">
        <v>536</v>
      </c>
      <c r="E414" s="87" t="s">
        <v>537</v>
      </c>
      <c r="F414" s="271"/>
      <c r="G414" s="269"/>
      <c r="H414" s="270"/>
      <c r="I414" s="115">
        <v>4237</v>
      </c>
      <c r="J414" s="107" t="str">
        <f>IF(OR(D414="",D414="-"),"",CONCATENATE("SPT",K414,"/",N414,L414,".",M414))</f>
        <v>SPT103RSPT/MSPSA3GGIO2.AnIn9</v>
      </c>
      <c r="K414" s="103" t="str">
        <f t="shared" si="85"/>
        <v>103RSPT</v>
      </c>
      <c r="L414" s="104" t="str">
        <f t="shared" si="86"/>
        <v>GGIO2</v>
      </c>
      <c r="M414" s="82" t="s">
        <v>559</v>
      </c>
      <c r="N414" s="82" t="str">
        <f t="shared" si="87"/>
        <v>MSPSA3</v>
      </c>
      <c r="S414" s="82">
        <f t="shared" si="83"/>
        <v>142</v>
      </c>
      <c r="T414" s="82" t="str">
        <f t="shared" si="84"/>
        <v>lb_dd142</v>
      </c>
      <c r="X414" s="82">
        <v>9</v>
      </c>
    </row>
    <row r="415" spans="1:25" x14ac:dyDescent="0.25">
      <c r="A415" s="268"/>
      <c r="B415" s="268"/>
      <c r="C415" s="87">
        <v>512</v>
      </c>
      <c r="D415" s="87" t="s">
        <v>540</v>
      </c>
      <c r="E415" s="87" t="s">
        <v>208</v>
      </c>
      <c r="F415" s="271" t="s">
        <v>28</v>
      </c>
      <c r="G415" s="269"/>
      <c r="H415" s="270" t="s">
        <v>59</v>
      </c>
      <c r="I415" s="115">
        <v>4238</v>
      </c>
      <c r="J415" s="107" t="str">
        <f>IF(OR(D415="",D415="-"),"",CONCATENATE("SPT",K415,"/",N415,L415,".",M415))</f>
        <v>SPT103RSPT/MSPSA3GGIO2.Alm1</v>
      </c>
      <c r="K415" s="103" t="str">
        <f t="shared" si="85"/>
        <v>103RSPT</v>
      </c>
      <c r="L415" s="104" t="str">
        <f t="shared" si="86"/>
        <v>GGIO2</v>
      </c>
      <c r="M415" s="108" t="s">
        <v>37</v>
      </c>
      <c r="N415" s="82" t="str">
        <f t="shared" si="87"/>
        <v>MSPSA3</v>
      </c>
      <c r="S415" s="82">
        <f t="shared" si="83"/>
        <v>143</v>
      </c>
      <c r="T415" s="82" t="str">
        <f t="shared" si="84"/>
        <v>lb_dd143</v>
      </c>
      <c r="X415" s="82">
        <v>10</v>
      </c>
    </row>
    <row r="416" spans="1:25" x14ac:dyDescent="0.25">
      <c r="A416" s="268"/>
      <c r="B416" s="268"/>
      <c r="C416" s="87">
        <v>513</v>
      </c>
      <c r="D416" s="87" t="s">
        <v>541</v>
      </c>
      <c r="E416" s="87" t="s">
        <v>208</v>
      </c>
      <c r="F416" s="271"/>
      <c r="G416" s="269"/>
      <c r="H416" s="270"/>
      <c r="I416" s="115">
        <v>4239</v>
      </c>
      <c r="J416" s="107" t="str">
        <f>IF(OR(D416="",D416="-"),"",CONCATENATE("SPT",K416,"/",N416,L416,".",M416))</f>
        <v>SPT103RSPT/MSPSA3GGIO2.Alm2</v>
      </c>
      <c r="K416" s="103" t="str">
        <f t="shared" si="85"/>
        <v>103RSPT</v>
      </c>
      <c r="L416" s="104" t="str">
        <f t="shared" si="86"/>
        <v>GGIO2</v>
      </c>
      <c r="M416" s="108" t="s">
        <v>39</v>
      </c>
      <c r="N416" s="82" t="str">
        <f t="shared" si="87"/>
        <v>MSPSA3</v>
      </c>
      <c r="S416" s="82">
        <f t="shared" si="83"/>
        <v>144</v>
      </c>
      <c r="T416" s="82" t="str">
        <f t="shared" si="84"/>
        <v>lb_dd144</v>
      </c>
      <c r="X416" s="82">
        <v>11</v>
      </c>
    </row>
    <row r="417" spans="1:24" x14ac:dyDescent="0.25">
      <c r="A417" s="268"/>
      <c r="B417" s="268"/>
      <c r="C417" s="87">
        <v>514</v>
      </c>
      <c r="D417" s="87" t="s">
        <v>542</v>
      </c>
      <c r="E417" s="87" t="s">
        <v>208</v>
      </c>
      <c r="F417" s="271"/>
      <c r="G417" s="269"/>
      <c r="H417" s="270"/>
      <c r="I417" s="115">
        <v>4240</v>
      </c>
      <c r="J417" s="107" t="str">
        <f>IF(OR(D417="",D417="-"),"",CONCATENATE("SPT",K417,"/",N417,L417,".",M417))</f>
        <v>SPT103RSPT/MSPSA3GGIO2.Alm3</v>
      </c>
      <c r="K417" s="103" t="str">
        <f t="shared" si="85"/>
        <v>103RSPT</v>
      </c>
      <c r="L417" s="104" t="str">
        <f t="shared" si="86"/>
        <v>GGIO2</v>
      </c>
      <c r="M417" s="108" t="s">
        <v>41</v>
      </c>
      <c r="N417" s="82" t="str">
        <f t="shared" si="87"/>
        <v>MSPSA3</v>
      </c>
      <c r="S417" s="82">
        <f t="shared" si="83"/>
        <v>145</v>
      </c>
      <c r="T417" s="82" t="str">
        <f t="shared" si="84"/>
        <v>lb_dd145</v>
      </c>
      <c r="X417" s="82">
        <v>12</v>
      </c>
    </row>
    <row r="418" spans="1:24" x14ac:dyDescent="0.25">
      <c r="A418" s="268"/>
      <c r="B418" s="268"/>
      <c r="C418" s="87">
        <v>515</v>
      </c>
      <c r="D418" s="87" t="s">
        <v>543</v>
      </c>
      <c r="E418" s="87" t="s">
        <v>208</v>
      </c>
      <c r="F418" s="271"/>
      <c r="G418" s="269"/>
      <c r="H418" s="270"/>
      <c r="I418" s="115">
        <v>4241</v>
      </c>
      <c r="J418" s="107" t="str">
        <f>IF(OR(D418="",D418="-"),"",CONCATENATE("SPT",K418,"/",N418,L418,".",M418))</f>
        <v>SPT103RSPT/MSPSA3GGIO2.Alm4</v>
      </c>
      <c r="K418" s="103" t="str">
        <f t="shared" si="85"/>
        <v>103RSPT</v>
      </c>
      <c r="L418" s="104" t="str">
        <f t="shared" si="86"/>
        <v>GGIO2</v>
      </c>
      <c r="M418" s="108" t="s">
        <v>43</v>
      </c>
      <c r="N418" s="82" t="str">
        <f t="shared" si="87"/>
        <v>MSPSA3</v>
      </c>
      <c r="S418" s="82">
        <f t="shared" si="83"/>
        <v>146</v>
      </c>
      <c r="T418" s="82" t="str">
        <f t="shared" si="84"/>
        <v>lb_dd146</v>
      </c>
      <c r="X418" s="82">
        <v>13</v>
      </c>
    </row>
    <row r="419" spans="1:24" x14ac:dyDescent="0.25">
      <c r="A419" s="268"/>
      <c r="B419" s="268"/>
      <c r="C419" s="87">
        <v>517</v>
      </c>
      <c r="D419" s="87" t="s">
        <v>202</v>
      </c>
      <c r="E419" s="87" t="s">
        <v>208</v>
      </c>
      <c r="F419" s="271"/>
      <c r="G419" s="269"/>
      <c r="H419" s="270"/>
      <c r="I419" s="115">
        <v>4242</v>
      </c>
      <c r="J419" s="107" t="str">
        <f>IF(OR(D419="",D419="-"),"",CONCATENATE("SPT",K419,"/",N419,L419,".",M419))</f>
        <v>SPT103RSPT/MSPSA3GGIO2.Alm5</v>
      </c>
      <c r="K419" s="103" t="str">
        <f t="shared" si="85"/>
        <v>103RSPT</v>
      </c>
      <c r="L419" s="104" t="str">
        <f t="shared" si="86"/>
        <v>GGIO2</v>
      </c>
      <c r="M419" s="108" t="s">
        <v>45</v>
      </c>
      <c r="N419" s="82" t="str">
        <f t="shared" si="87"/>
        <v>MSPSA3</v>
      </c>
      <c r="S419" s="82">
        <f t="shared" si="83"/>
        <v>147</v>
      </c>
      <c r="T419" s="82" t="str">
        <f t="shared" si="84"/>
        <v>lb_dd147</v>
      </c>
      <c r="X419" s="82">
        <v>14</v>
      </c>
    </row>
    <row r="420" spans="1:24" x14ac:dyDescent="0.25">
      <c r="A420" s="268"/>
      <c r="B420" s="268"/>
      <c r="C420" s="87">
        <v>518</v>
      </c>
      <c r="D420" s="87" t="s">
        <v>544</v>
      </c>
      <c r="E420" s="87" t="s">
        <v>208</v>
      </c>
      <c r="F420" s="271"/>
      <c r="G420" s="269"/>
      <c r="H420" s="270"/>
      <c r="I420" s="115">
        <v>4243</v>
      </c>
      <c r="J420" s="107" t="str">
        <f>IF(OR(D420="",D420="-"),"",CONCATENATE("SPT",K420,"/",N420,L420,".",M420))</f>
        <v>SPT103RSPT/MSPSA3GGIO2.Alm6</v>
      </c>
      <c r="K420" s="103" t="str">
        <f t="shared" si="85"/>
        <v>103RSPT</v>
      </c>
      <c r="L420" s="104" t="str">
        <f t="shared" si="86"/>
        <v>GGIO2</v>
      </c>
      <c r="M420" s="108" t="s">
        <v>47</v>
      </c>
      <c r="N420" s="82" t="str">
        <f t="shared" si="87"/>
        <v>MSPSA3</v>
      </c>
      <c r="S420" s="82">
        <f t="shared" si="83"/>
        <v>148</v>
      </c>
      <c r="T420" s="82" t="str">
        <f t="shared" si="84"/>
        <v>lb_dd148</v>
      </c>
      <c r="X420" s="82">
        <v>15</v>
      </c>
    </row>
    <row r="421" spans="1:24" ht="24" x14ac:dyDescent="0.25">
      <c r="A421" s="268"/>
      <c r="B421" s="268"/>
      <c r="C421" s="87">
        <v>519</v>
      </c>
      <c r="D421" s="87" t="s">
        <v>545</v>
      </c>
      <c r="E421" s="87" t="s">
        <v>555</v>
      </c>
      <c r="F421" s="271"/>
      <c r="G421" s="269"/>
      <c r="H421" s="270"/>
      <c r="I421" s="115">
        <v>4244</v>
      </c>
      <c r="J421" s="107" t="str">
        <f>IF(OR(D421="",D421="-"),"",CONCATENATE("SPT",K421,"/",N421,L421,".",M421))</f>
        <v>SPT103RSPT/MSPSA3GGIO2.Ind1</v>
      </c>
      <c r="K421" s="103" t="str">
        <f t="shared" si="85"/>
        <v>103RSPT</v>
      </c>
      <c r="L421" s="104" t="str">
        <f t="shared" si="86"/>
        <v>GGIO2</v>
      </c>
      <c r="M421" s="82" t="s">
        <v>36</v>
      </c>
      <c r="N421" s="82" t="str">
        <f t="shared" si="87"/>
        <v>MSPSA3</v>
      </c>
      <c r="S421" s="82">
        <f t="shared" si="83"/>
        <v>149</v>
      </c>
      <c r="T421" s="82" t="str">
        <f t="shared" si="84"/>
        <v>lb_dd149</v>
      </c>
      <c r="X421" s="82">
        <v>16</v>
      </c>
    </row>
    <row r="422" spans="1:24" x14ac:dyDescent="0.25">
      <c r="A422" s="268"/>
      <c r="B422" s="268"/>
      <c r="C422" s="87">
        <v>528</v>
      </c>
      <c r="D422" s="87" t="s">
        <v>546</v>
      </c>
      <c r="E422" s="87" t="s">
        <v>208</v>
      </c>
      <c r="F422" s="271"/>
      <c r="G422" s="269"/>
      <c r="H422" s="270"/>
      <c r="I422" s="115">
        <v>4245</v>
      </c>
      <c r="J422" s="107" t="str">
        <f>IF(OR(D422="",D422="-"),"",CONCATENATE("SPT",K422,"/",N422,L422,".",M422))</f>
        <v>SPT103RSPT/MSPSA3GGIO2.Alm7</v>
      </c>
      <c r="K422" s="103" t="str">
        <f t="shared" si="85"/>
        <v>103RSPT</v>
      </c>
      <c r="L422" s="104" t="str">
        <f t="shared" si="86"/>
        <v>GGIO2</v>
      </c>
      <c r="M422" s="108" t="s">
        <v>49</v>
      </c>
      <c r="N422" s="82" t="str">
        <f t="shared" si="87"/>
        <v>MSPSA3</v>
      </c>
      <c r="S422" s="82">
        <f t="shared" si="83"/>
        <v>150</v>
      </c>
      <c r="T422" s="82" t="str">
        <f t="shared" si="84"/>
        <v>lb_dd150</v>
      </c>
      <c r="X422" s="82">
        <v>17</v>
      </c>
    </row>
    <row r="423" spans="1:24" x14ac:dyDescent="0.25">
      <c r="A423" s="268"/>
      <c r="B423" s="268"/>
      <c r="C423" s="87">
        <v>529</v>
      </c>
      <c r="D423" s="87" t="s">
        <v>547</v>
      </c>
      <c r="E423" s="87" t="s">
        <v>208</v>
      </c>
      <c r="F423" s="271"/>
      <c r="G423" s="269"/>
      <c r="H423" s="270"/>
      <c r="I423" s="115">
        <v>4246</v>
      </c>
      <c r="J423" s="107" t="str">
        <f>IF(OR(D423="",D423="-"),"",CONCATENATE("SPT",K423,"/",N423,L423,".",M423))</f>
        <v>SPT103RSPT/MSPSA3GGIO2.Alm8</v>
      </c>
      <c r="K423" s="103" t="str">
        <f t="shared" si="85"/>
        <v>103RSPT</v>
      </c>
      <c r="L423" s="104" t="str">
        <f t="shared" si="86"/>
        <v>GGIO2</v>
      </c>
      <c r="M423" s="108" t="s">
        <v>56</v>
      </c>
      <c r="N423" s="82" t="str">
        <f t="shared" si="87"/>
        <v>MSPSA3</v>
      </c>
      <c r="S423" s="82">
        <f t="shared" si="83"/>
        <v>151</v>
      </c>
      <c r="T423" s="82" t="str">
        <f t="shared" si="84"/>
        <v>lb_dd151</v>
      </c>
      <c r="X423" s="82">
        <v>18</v>
      </c>
    </row>
    <row r="424" spans="1:24" x14ac:dyDescent="0.25">
      <c r="A424" s="268"/>
      <c r="B424" s="268"/>
      <c r="C424" s="87">
        <v>530</v>
      </c>
      <c r="D424" s="87" t="s">
        <v>137</v>
      </c>
      <c r="E424" s="87" t="s">
        <v>208</v>
      </c>
      <c r="F424" s="271"/>
      <c r="G424" s="269"/>
      <c r="H424" s="270"/>
      <c r="I424" s="115">
        <v>4247</v>
      </c>
      <c r="J424" s="107" t="str">
        <f>IF(OR(D424="",D424="-"),"",CONCATENATE("SPT",K424,"/",N424,L424,".",M424))</f>
        <v>SPT103RSPT/MSPSA3GGIO2.Alm9</v>
      </c>
      <c r="K424" s="103" t="str">
        <f t="shared" si="85"/>
        <v>103RSPT</v>
      </c>
      <c r="L424" s="104" t="str">
        <f t="shared" si="86"/>
        <v>GGIO2</v>
      </c>
      <c r="M424" s="108" t="s">
        <v>217</v>
      </c>
      <c r="N424" s="82" t="str">
        <f t="shared" si="87"/>
        <v>MSPSA3</v>
      </c>
      <c r="S424" s="82">
        <f t="shared" si="83"/>
        <v>152</v>
      </c>
      <c r="T424" s="82" t="str">
        <f t="shared" si="84"/>
        <v>lb_dd152</v>
      </c>
      <c r="X424" s="82">
        <v>19</v>
      </c>
    </row>
    <row r="425" spans="1:24" x14ac:dyDescent="0.25">
      <c r="A425" s="268"/>
      <c r="B425" s="268"/>
      <c r="C425" s="87">
        <v>536</v>
      </c>
      <c r="D425" s="87" t="s">
        <v>548</v>
      </c>
      <c r="E425" s="87" t="s">
        <v>208</v>
      </c>
      <c r="F425" s="271"/>
      <c r="G425" s="269"/>
      <c r="H425" s="270"/>
      <c r="I425" s="115">
        <v>4248</v>
      </c>
      <c r="J425" s="107" t="str">
        <f>IF(OR(D425="",D425="-"),"",CONCATENATE("SPT",K425,"/",N425,L425,".",M425))</f>
        <v>SPT103RSPT/MSPSA3GGIO2.Alm10</v>
      </c>
      <c r="K425" s="103" t="str">
        <f t="shared" si="85"/>
        <v>103RSPT</v>
      </c>
      <c r="L425" s="104" t="str">
        <f t="shared" si="86"/>
        <v>GGIO2</v>
      </c>
      <c r="M425" s="108" t="s">
        <v>218</v>
      </c>
      <c r="N425" s="82" t="str">
        <f t="shared" si="87"/>
        <v>MSPSA3</v>
      </c>
      <c r="S425" s="82">
        <f t="shared" si="83"/>
        <v>153</v>
      </c>
      <c r="T425" s="82" t="str">
        <f t="shared" si="84"/>
        <v>lb_dd153</v>
      </c>
      <c r="X425" s="82">
        <v>20</v>
      </c>
    </row>
    <row r="426" spans="1:24" x14ac:dyDescent="0.25">
      <c r="A426" s="268"/>
      <c r="B426" s="268"/>
      <c r="C426" s="87">
        <v>537</v>
      </c>
      <c r="D426" s="87" t="s">
        <v>549</v>
      </c>
      <c r="E426" s="87" t="s">
        <v>208</v>
      </c>
      <c r="F426" s="271"/>
      <c r="G426" s="269"/>
      <c r="H426" s="270"/>
      <c r="I426" s="115">
        <v>4249</v>
      </c>
      <c r="J426" s="107" t="str">
        <f>IF(OR(D426="",D426="-"),"",CONCATENATE("SPT",K426,"/",N426,L426,".",M426))</f>
        <v>SPT103RSPT/MSPSA3GGIO2.Alm11</v>
      </c>
      <c r="K426" s="103" t="str">
        <f t="shared" si="85"/>
        <v>103RSPT</v>
      </c>
      <c r="L426" s="104" t="str">
        <f t="shared" si="86"/>
        <v>GGIO2</v>
      </c>
      <c r="M426" s="108" t="s">
        <v>219</v>
      </c>
      <c r="N426" s="82" t="str">
        <f t="shared" si="87"/>
        <v>MSPSA3</v>
      </c>
      <c r="S426" s="82">
        <f t="shared" si="83"/>
        <v>154</v>
      </c>
      <c r="T426" s="82" t="str">
        <f t="shared" si="84"/>
        <v>lb_dd154</v>
      </c>
      <c r="X426" s="82">
        <v>21</v>
      </c>
    </row>
    <row r="427" spans="1:24" x14ac:dyDescent="0.25">
      <c r="A427" s="268"/>
      <c r="B427" s="268"/>
      <c r="C427" s="87">
        <v>538</v>
      </c>
      <c r="D427" s="87" t="s">
        <v>550</v>
      </c>
      <c r="E427" s="87" t="s">
        <v>208</v>
      </c>
      <c r="F427" s="271"/>
      <c r="G427" s="269"/>
      <c r="H427" s="270"/>
      <c r="I427" s="115">
        <v>4250</v>
      </c>
      <c r="J427" s="107" t="str">
        <f>IF(OR(D427="",D427="-"),"",CONCATENATE("SPT",K427,"/",N427,L427,".",M427))</f>
        <v>SPT103RSPT/MSPSA3GGIO2.Alm12</v>
      </c>
      <c r="K427" s="103" t="str">
        <f t="shared" si="85"/>
        <v>103RSPT</v>
      </c>
      <c r="L427" s="104" t="str">
        <f t="shared" si="86"/>
        <v>GGIO2</v>
      </c>
      <c r="M427" s="108" t="s">
        <v>220</v>
      </c>
      <c r="N427" s="82" t="str">
        <f t="shared" si="87"/>
        <v>MSPSA3</v>
      </c>
      <c r="S427" s="82">
        <f t="shared" si="83"/>
        <v>155</v>
      </c>
      <c r="T427" s="82" t="str">
        <f t="shared" si="84"/>
        <v>lb_dd155</v>
      </c>
      <c r="X427" s="82">
        <v>22</v>
      </c>
    </row>
    <row r="428" spans="1:24" x14ac:dyDescent="0.25">
      <c r="A428" s="268"/>
      <c r="B428" s="268"/>
      <c r="C428" s="87">
        <v>568</v>
      </c>
      <c r="D428" s="87" t="s">
        <v>551</v>
      </c>
      <c r="E428" s="87" t="s">
        <v>208</v>
      </c>
      <c r="F428" s="271"/>
      <c r="G428" s="269"/>
      <c r="H428" s="270"/>
      <c r="I428" s="115">
        <v>4251</v>
      </c>
      <c r="J428" s="107" t="str">
        <f>IF(OR(D428="",D428="-"),"",CONCATENATE("SPT",K428,"/",N428,L428,".",M428))</f>
        <v>SPT103RSPT/MSPSA3GGIO2.Alm13</v>
      </c>
      <c r="K428" s="103" t="str">
        <f t="shared" si="85"/>
        <v>103RSPT</v>
      </c>
      <c r="L428" s="104" t="str">
        <f t="shared" si="86"/>
        <v>GGIO2</v>
      </c>
      <c r="M428" s="108" t="s">
        <v>221</v>
      </c>
      <c r="N428" s="82" t="str">
        <f t="shared" si="87"/>
        <v>MSPSA3</v>
      </c>
      <c r="S428" s="82">
        <f t="shared" si="83"/>
        <v>156</v>
      </c>
      <c r="T428" s="82" t="str">
        <f t="shared" si="84"/>
        <v>lb_dd156</v>
      </c>
      <c r="X428" s="82">
        <v>23</v>
      </c>
    </row>
    <row r="429" spans="1:24" x14ac:dyDescent="0.25">
      <c r="A429" s="268"/>
      <c r="B429" s="268"/>
      <c r="C429" s="87">
        <v>744</v>
      </c>
      <c r="D429" s="87" t="s">
        <v>496</v>
      </c>
      <c r="E429" s="87" t="s">
        <v>370</v>
      </c>
      <c r="F429" s="271"/>
      <c r="G429" s="269"/>
      <c r="H429" s="270"/>
      <c r="I429" s="115">
        <v>4252</v>
      </c>
      <c r="J429" s="107" t="str">
        <f>IF(OR(D429="",D429="-"),"",CONCATENATE("SPT",K429,"/",N429,L429,".",M429))</f>
        <v>SPT103RSPT/MSPSA3GGIO2.Ind2</v>
      </c>
      <c r="K429" s="103" t="str">
        <f t="shared" si="85"/>
        <v>103RSPT</v>
      </c>
      <c r="L429" s="104" t="str">
        <f t="shared" si="86"/>
        <v>GGIO2</v>
      </c>
      <c r="M429" s="82" t="s">
        <v>38</v>
      </c>
      <c r="N429" s="82" t="str">
        <f t="shared" si="87"/>
        <v>MSPSA3</v>
      </c>
      <c r="S429" s="82">
        <f t="shared" si="83"/>
        <v>157</v>
      </c>
      <c r="T429" s="82" t="str">
        <f t="shared" si="84"/>
        <v>lb_dd157</v>
      </c>
      <c r="X429" s="82">
        <v>24</v>
      </c>
    </row>
    <row r="430" spans="1:24" x14ac:dyDescent="0.25">
      <c r="A430" s="268"/>
      <c r="B430" s="268"/>
      <c r="C430" s="87">
        <v>745</v>
      </c>
      <c r="D430" s="87" t="s">
        <v>497</v>
      </c>
      <c r="E430" s="87" t="s">
        <v>370</v>
      </c>
      <c r="F430" s="271"/>
      <c r="G430" s="269"/>
      <c r="H430" s="270"/>
      <c r="I430" s="115">
        <v>4253</v>
      </c>
      <c r="J430" s="107" t="str">
        <f>IF(OR(D430="",D430="-"),"",CONCATENATE("SPT",K430,"/",N430,L430,".",M430))</f>
        <v>SPT103RSPT/MSPSA3GGIO2.Ind3</v>
      </c>
      <c r="K430" s="103" t="str">
        <f t="shared" si="85"/>
        <v>103RSPT</v>
      </c>
      <c r="L430" s="104" t="str">
        <f t="shared" si="86"/>
        <v>GGIO2</v>
      </c>
      <c r="M430" s="82" t="s">
        <v>40</v>
      </c>
      <c r="N430" s="82" t="str">
        <f t="shared" si="87"/>
        <v>MSPSA3</v>
      </c>
      <c r="S430" s="82">
        <f t="shared" si="83"/>
        <v>158</v>
      </c>
      <c r="T430" s="82" t="str">
        <f t="shared" si="84"/>
        <v>lb_dd158</v>
      </c>
      <c r="X430" s="82">
        <v>25</v>
      </c>
    </row>
    <row r="431" spans="1:24" x14ac:dyDescent="0.25">
      <c r="A431" s="268"/>
      <c r="B431" s="268"/>
      <c r="C431" s="87">
        <v>746</v>
      </c>
      <c r="D431" s="87" t="s">
        <v>140</v>
      </c>
      <c r="E431" s="87" t="s">
        <v>370</v>
      </c>
      <c r="F431" s="271"/>
      <c r="G431" s="269"/>
      <c r="H431" s="270"/>
      <c r="I431" s="115">
        <v>4254</v>
      </c>
      <c r="J431" s="107" t="str">
        <f>IF(OR(D431="",D431="-"),"",CONCATENATE("SPT",K431,"/",N431,L431,".",M431))</f>
        <v>SPT103RSPT/MSPSA3GGIO2.Ind4</v>
      </c>
      <c r="K431" s="103" t="str">
        <f t="shared" si="85"/>
        <v>103RSPT</v>
      </c>
      <c r="L431" s="104" t="str">
        <f t="shared" si="86"/>
        <v>GGIO2</v>
      </c>
      <c r="M431" s="82" t="s">
        <v>42</v>
      </c>
      <c r="N431" s="82" t="str">
        <f t="shared" si="87"/>
        <v>MSPSA3</v>
      </c>
      <c r="S431" s="82">
        <f t="shared" si="83"/>
        <v>159</v>
      </c>
      <c r="T431" s="82" t="str">
        <f t="shared" si="84"/>
        <v>lb_dd159</v>
      </c>
      <c r="X431" s="82">
        <v>26</v>
      </c>
    </row>
    <row r="432" spans="1:24" x14ac:dyDescent="0.25">
      <c r="A432" s="268"/>
      <c r="B432" s="268"/>
      <c r="C432" s="87">
        <v>747</v>
      </c>
      <c r="D432" s="87" t="s">
        <v>552</v>
      </c>
      <c r="E432" s="87" t="s">
        <v>208</v>
      </c>
      <c r="F432" s="271"/>
      <c r="G432" s="269"/>
      <c r="H432" s="270"/>
      <c r="I432" s="115">
        <v>4255</v>
      </c>
      <c r="J432" s="107" t="str">
        <f>IF(OR(D432="",D432="-"),"",CONCATENATE("SPT",K432,"/",N432,L432,".",M432))</f>
        <v>SPT103RSPT/MSPSA3GGIO2.Alm14</v>
      </c>
      <c r="K432" s="103" t="str">
        <f t="shared" si="85"/>
        <v>103RSPT</v>
      </c>
      <c r="L432" s="104" t="str">
        <f t="shared" si="86"/>
        <v>GGIO2</v>
      </c>
      <c r="M432" s="108" t="s">
        <v>222</v>
      </c>
      <c r="N432" s="82" t="str">
        <f t="shared" si="87"/>
        <v>MSPSA3</v>
      </c>
      <c r="S432" s="82">
        <f t="shared" si="83"/>
        <v>160</v>
      </c>
      <c r="T432" s="82" t="str">
        <f t="shared" si="84"/>
        <v>lb_dd160</v>
      </c>
      <c r="X432" s="82">
        <v>27</v>
      </c>
    </row>
    <row r="433" spans="1:24" x14ac:dyDescent="0.25">
      <c r="A433" s="268"/>
      <c r="B433" s="268"/>
      <c r="C433" s="87">
        <v>748</v>
      </c>
      <c r="D433" s="87" t="s">
        <v>553</v>
      </c>
      <c r="E433" s="87" t="s">
        <v>208</v>
      </c>
      <c r="F433" s="271"/>
      <c r="G433" s="269"/>
      <c r="H433" s="270"/>
      <c r="I433" s="115">
        <v>4256</v>
      </c>
      <c r="J433" s="107" t="str">
        <f>IF(OR(D433="",D433="-"),"",CONCATENATE("SPT",K433,"/",N433,L433,".",M433))</f>
        <v>SPT103RSPT/MSPSA3GGIO2.Alm15</v>
      </c>
      <c r="K433" s="103" t="str">
        <f t="shared" si="85"/>
        <v>103RSPT</v>
      </c>
      <c r="L433" s="104" t="str">
        <f t="shared" si="86"/>
        <v>GGIO2</v>
      </c>
      <c r="M433" s="108" t="s">
        <v>223</v>
      </c>
      <c r="N433" s="82" t="str">
        <f t="shared" si="87"/>
        <v>MSPSA3</v>
      </c>
      <c r="S433" s="82">
        <f t="shared" si="83"/>
        <v>161</v>
      </c>
      <c r="T433" s="82" t="str">
        <f t="shared" si="84"/>
        <v>lb_dd161</v>
      </c>
      <c r="X433" s="82">
        <v>28</v>
      </c>
    </row>
    <row r="434" spans="1:24" x14ac:dyDescent="0.25">
      <c r="A434" s="268"/>
      <c r="B434" s="268"/>
      <c r="C434" s="87">
        <v>749</v>
      </c>
      <c r="D434" s="87" t="s">
        <v>554</v>
      </c>
      <c r="E434" s="87" t="s">
        <v>208</v>
      </c>
      <c r="F434" s="271"/>
      <c r="G434" s="269"/>
      <c r="H434" s="270"/>
      <c r="I434" s="115">
        <v>4257</v>
      </c>
      <c r="J434" s="107" t="str">
        <f>IF(OR(D434="",D434="-"),"",CONCATENATE("SPT",K434,"/",N434,L434,".",M434))</f>
        <v>SPT103RSPT/MSPSA3GGIO2.Alm16</v>
      </c>
      <c r="K434" s="103" t="str">
        <f t="shared" si="85"/>
        <v>103RSPT</v>
      </c>
      <c r="L434" s="104" t="str">
        <f t="shared" si="86"/>
        <v>GGIO2</v>
      </c>
      <c r="M434" s="108" t="s">
        <v>224</v>
      </c>
      <c r="N434" s="82" t="str">
        <f t="shared" si="87"/>
        <v>MSPSA3</v>
      </c>
      <c r="S434" s="82">
        <f t="shared" si="83"/>
        <v>162</v>
      </c>
      <c r="T434" s="82" t="str">
        <f t="shared" si="84"/>
        <v>lb_dd162</v>
      </c>
      <c r="X434" s="82">
        <v>29</v>
      </c>
    </row>
    <row r="435" spans="1:24" x14ac:dyDescent="0.25">
      <c r="A435" s="255"/>
      <c r="B435" s="256"/>
      <c r="C435" s="256"/>
      <c r="D435" s="256"/>
      <c r="E435" s="256"/>
      <c r="F435" s="256"/>
      <c r="G435" s="256"/>
      <c r="H435" s="256"/>
      <c r="I435" s="256"/>
      <c r="J435" s="257"/>
    </row>
  </sheetData>
  <mergeCells count="149">
    <mergeCell ref="A435:J435"/>
    <mergeCell ref="A398:J398"/>
    <mergeCell ref="A350:J350"/>
    <mergeCell ref="A236:J236"/>
    <mergeCell ref="A233:J233"/>
    <mergeCell ref="A163:J163"/>
    <mergeCell ref="B164:B169"/>
    <mergeCell ref="F164:F166"/>
    <mergeCell ref="H164:H166"/>
    <mergeCell ref="F167:F169"/>
    <mergeCell ref="H167:H169"/>
    <mergeCell ref="A164:A169"/>
    <mergeCell ref="A179:J179"/>
    <mergeCell ref="F180:F184"/>
    <mergeCell ref="H180:H184"/>
    <mergeCell ref="H150:H153"/>
    <mergeCell ref="G146:G153"/>
    <mergeCell ref="F150:F153"/>
    <mergeCell ref="A146:A153"/>
    <mergeCell ref="B146:B153"/>
    <mergeCell ref="F156:F158"/>
    <mergeCell ref="H156:H158"/>
    <mergeCell ref="F159:F161"/>
    <mergeCell ref="H159:H161"/>
    <mergeCell ref="A22:A53"/>
    <mergeCell ref="B22:B53"/>
    <mergeCell ref="F22:F53"/>
    <mergeCell ref="G22:G53"/>
    <mergeCell ref="H22:H53"/>
    <mergeCell ref="N1:N2"/>
    <mergeCell ref="A126:J126"/>
    <mergeCell ref="A170:J170"/>
    <mergeCell ref="A171:J171"/>
    <mergeCell ref="A172:A177"/>
    <mergeCell ref="B172:B177"/>
    <mergeCell ref="F172:F174"/>
    <mergeCell ref="H172:H174"/>
    <mergeCell ref="F175:F177"/>
    <mergeCell ref="H175:H177"/>
    <mergeCell ref="G156:G161"/>
    <mergeCell ref="G164:G169"/>
    <mergeCell ref="G172:G177"/>
    <mergeCell ref="F146:F149"/>
    <mergeCell ref="H146:H149"/>
    <mergeCell ref="A228:J228"/>
    <mergeCell ref="B219:B222"/>
    <mergeCell ref="A235:J235"/>
    <mergeCell ref="G219:G222"/>
    <mergeCell ref="F352:F397"/>
    <mergeCell ref="H352:H397"/>
    <mergeCell ref="A229:J229"/>
    <mergeCell ref="H230:H231"/>
    <mergeCell ref="B230:B231"/>
    <mergeCell ref="G238:G292"/>
    <mergeCell ref="G295:G349"/>
    <mergeCell ref="A237:J237"/>
    <mergeCell ref="A238:A292"/>
    <mergeCell ref="A293:J293"/>
    <mergeCell ref="A232:J232"/>
    <mergeCell ref="L1:L2"/>
    <mergeCell ref="M1:M2"/>
    <mergeCell ref="F4:F19"/>
    <mergeCell ref="H4:H19"/>
    <mergeCell ref="A294:J294"/>
    <mergeCell ref="A295:A349"/>
    <mergeCell ref="B295:B349"/>
    <mergeCell ref="F295:F344"/>
    <mergeCell ref="H295:H344"/>
    <mergeCell ref="F345:F349"/>
    <mergeCell ref="H345:H349"/>
    <mergeCell ref="B238:B292"/>
    <mergeCell ref="H238:H287"/>
    <mergeCell ref="F238:F287"/>
    <mergeCell ref="F288:F292"/>
    <mergeCell ref="H288:H292"/>
    <mergeCell ref="H1:I1"/>
    <mergeCell ref="G1:G2"/>
    <mergeCell ref="J1:J2"/>
    <mergeCell ref="A1:C1"/>
    <mergeCell ref="D1:D2"/>
    <mergeCell ref="E1:E2"/>
    <mergeCell ref="B4:B19"/>
    <mergeCell ref="F92:F107"/>
    <mergeCell ref="A56:A71"/>
    <mergeCell ref="F128:F143"/>
    <mergeCell ref="H128:H143"/>
    <mergeCell ref="A90:J90"/>
    <mergeCell ref="A91:J91"/>
    <mergeCell ref="A92:A107"/>
    <mergeCell ref="B92:B107"/>
    <mergeCell ref="K1:K2"/>
    <mergeCell ref="G92:G107"/>
    <mergeCell ref="H92:H107"/>
    <mergeCell ref="A109:J109"/>
    <mergeCell ref="A110:A125"/>
    <mergeCell ref="B110:B125"/>
    <mergeCell ref="F110:F125"/>
    <mergeCell ref="G110:G125"/>
    <mergeCell ref="H110:H125"/>
    <mergeCell ref="B128:B143"/>
    <mergeCell ref="G128:G143"/>
    <mergeCell ref="A108:J108"/>
    <mergeCell ref="F1:F2"/>
    <mergeCell ref="B56:B71"/>
    <mergeCell ref="F56:F71"/>
    <mergeCell ref="G56:G71"/>
    <mergeCell ref="A21:J21"/>
    <mergeCell ref="A128:A143"/>
    <mergeCell ref="A218:J218"/>
    <mergeCell ref="A217:J217"/>
    <mergeCell ref="G230:G231"/>
    <mergeCell ref="A178:J178"/>
    <mergeCell ref="H56:H71"/>
    <mergeCell ref="A3:J3"/>
    <mergeCell ref="A20:J20"/>
    <mergeCell ref="A72:J72"/>
    <mergeCell ref="A127:J127"/>
    <mergeCell ref="H219:H222"/>
    <mergeCell ref="A4:A19"/>
    <mergeCell ref="G4:G19"/>
    <mergeCell ref="A162:J162"/>
    <mergeCell ref="A154:J154"/>
    <mergeCell ref="A155:J155"/>
    <mergeCell ref="A156:A161"/>
    <mergeCell ref="B156:B161"/>
    <mergeCell ref="A55:J55"/>
    <mergeCell ref="O1:O2"/>
    <mergeCell ref="P1:P2"/>
    <mergeCell ref="A54:J54"/>
    <mergeCell ref="A226:J226"/>
    <mergeCell ref="A225:J225"/>
    <mergeCell ref="A404:J404"/>
    <mergeCell ref="A405:J405"/>
    <mergeCell ref="A406:A434"/>
    <mergeCell ref="B406:B434"/>
    <mergeCell ref="G406:G434"/>
    <mergeCell ref="H406:H414"/>
    <mergeCell ref="F406:F414"/>
    <mergeCell ref="F415:F434"/>
    <mergeCell ref="H415:H434"/>
    <mergeCell ref="N179:W179"/>
    <mergeCell ref="A144:J144"/>
    <mergeCell ref="A145:J145"/>
    <mergeCell ref="A73:J73"/>
    <mergeCell ref="A74:A89"/>
    <mergeCell ref="B74:B89"/>
    <mergeCell ref="F74:F89"/>
    <mergeCell ref="G74:G89"/>
    <mergeCell ref="H74:H89"/>
  </mergeCells>
  <conditionalFormatting sqref="I436:I1048576 I401:I403 I351 I229:I232 I1:I2 I238:I349 I178 I108 I127:I144 I55:I89 I4:I20 I146:I169 I180:I184">
    <cfRule type="duplicateValues" dxfId="80" priority="43"/>
  </conditionalFormatting>
  <conditionalFormatting sqref="I234">
    <cfRule type="duplicateValues" dxfId="79" priority="34"/>
  </conditionalFormatting>
  <conditionalFormatting sqref="I90:I107">
    <cfRule type="duplicateValues" dxfId="78" priority="16"/>
  </conditionalFormatting>
  <conditionalFormatting sqref="I126">
    <cfRule type="duplicateValues" dxfId="77" priority="15"/>
  </conditionalFormatting>
  <conditionalFormatting sqref="I109:I125">
    <cfRule type="duplicateValues" dxfId="76" priority="65"/>
  </conditionalFormatting>
  <conditionalFormatting sqref="I170:I177">
    <cfRule type="duplicateValues" dxfId="75" priority="71"/>
  </conditionalFormatting>
  <conditionalFormatting sqref="I222 I228">
    <cfRule type="duplicateValues" dxfId="74" priority="77"/>
  </conditionalFormatting>
  <conditionalFormatting sqref="I221">
    <cfRule type="duplicateValues" dxfId="73" priority="11"/>
  </conditionalFormatting>
  <conditionalFormatting sqref="I220">
    <cfRule type="duplicateValues" dxfId="72" priority="10"/>
  </conditionalFormatting>
  <conditionalFormatting sqref="I219">
    <cfRule type="duplicateValues" dxfId="71" priority="9"/>
  </conditionalFormatting>
  <conditionalFormatting sqref="I22:I53">
    <cfRule type="duplicateValues" dxfId="70" priority="8"/>
  </conditionalFormatting>
  <conditionalFormatting sqref="I227">
    <cfRule type="duplicateValues" dxfId="69" priority="7"/>
  </conditionalFormatting>
  <conditionalFormatting sqref="I224">
    <cfRule type="duplicateValues" dxfId="68" priority="5"/>
  </conditionalFormatting>
  <conditionalFormatting sqref="I223">
    <cfRule type="duplicateValues" dxfId="67" priority="4"/>
  </conditionalFormatting>
  <conditionalFormatting sqref="I406:I434">
    <cfRule type="duplicateValues" dxfId="66" priority="88"/>
  </conditionalFormatting>
  <conditionalFormatting sqref="M1:M1048576">
    <cfRule type="containsText" dxfId="65" priority="1" operator="containsText" text="Ind">
      <formula>NOT(ISERROR(SEARCH("Ind",M1)))</formula>
    </cfRule>
    <cfRule type="containsText" dxfId="64" priority="2" operator="containsText" text="Alm">
      <formula>NOT(ISERROR(SEARCH("Alm",M1)))</formula>
    </cfRule>
  </conditionalFormatting>
  <pageMargins left="0.25" right="0.25" top="0.75" bottom="0.75" header="0.3" footer="0.3"/>
  <pageSetup paperSize="9" scale="61" fitToHeight="0" orientation="portrait" r:id="rId1"/>
  <rowBreaks count="5" manualBreakCount="5">
    <brk id="293" max="9" man="1"/>
    <brk id="178" max="9" man="1"/>
    <brk id="54" max="9" man="1"/>
    <brk id="154" max="9" man="1"/>
    <brk id="350" max="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E0BA7-C4C2-4D9D-A7F1-1168B509A905}">
  <sheetPr codeName="Лист2">
    <pageSetUpPr fitToPage="1"/>
  </sheetPr>
  <dimension ref="A1:Z1426"/>
  <sheetViews>
    <sheetView zoomScale="115" zoomScaleNormal="115" workbookViewId="0">
      <pane ySplit="2" topLeftCell="A15" activePane="bottomLeft" state="frozen"/>
      <selection pane="bottomLeft" activeCell="A118" sqref="A118:J118"/>
    </sheetView>
  </sheetViews>
  <sheetFormatPr defaultRowHeight="14.4" outlineLevelRow="1" x14ac:dyDescent="0.3"/>
  <cols>
    <col min="1" max="1" width="6.6640625" style="6" customWidth="1"/>
    <col min="2" max="2" width="6" customWidth="1"/>
    <col min="3" max="3" width="8.88671875" style="5" customWidth="1"/>
    <col min="4" max="4" width="54.5546875" bestFit="1" customWidth="1"/>
    <col min="5" max="5" width="13.109375" customWidth="1"/>
    <col min="6" max="6" width="6.5546875" customWidth="1"/>
    <col min="7" max="7" width="7.44140625" hidden="1" customWidth="1"/>
    <col min="8" max="8" width="6.6640625" customWidth="1"/>
    <col min="9" max="9" width="8.5546875" style="13" customWidth="1"/>
    <col min="10" max="10" width="33" hidden="1" customWidth="1"/>
    <col min="11" max="11" width="13.6640625" style="23" hidden="1" customWidth="1"/>
    <col min="12" max="12" width="14.6640625" style="9" hidden="1" customWidth="1"/>
    <col min="13" max="13" width="14.5546875" hidden="1" customWidth="1"/>
    <col min="14" max="14" width="7.5546875" hidden="1" customWidth="1"/>
    <col min="15" max="15" width="8.5546875" hidden="1" customWidth="1"/>
    <col min="16" max="16" width="8.6640625" style="48" hidden="1" customWidth="1"/>
    <col min="17" max="17" width="8.6640625" hidden="1" customWidth="1"/>
    <col min="18" max="18" width="9.33203125" hidden="1" customWidth="1"/>
    <col min="19" max="19" width="6" hidden="1" customWidth="1"/>
    <col min="20" max="20" width="10.44140625" hidden="1" customWidth="1"/>
    <col min="21" max="21" width="7" hidden="1" customWidth="1"/>
    <col min="22" max="23" width="0" hidden="1" customWidth="1"/>
  </cols>
  <sheetData>
    <row r="1" spans="1:23" ht="30.75" customHeight="1" x14ac:dyDescent="0.3">
      <c r="A1" s="332" t="s">
        <v>57</v>
      </c>
      <c r="B1" s="332"/>
      <c r="C1" s="332"/>
      <c r="D1" s="333" t="s">
        <v>0</v>
      </c>
      <c r="E1" s="333" t="s">
        <v>26</v>
      </c>
      <c r="F1" s="333" t="s">
        <v>27</v>
      </c>
      <c r="G1" s="405" t="s">
        <v>1</v>
      </c>
      <c r="H1" s="407" t="s">
        <v>366</v>
      </c>
      <c r="I1" s="408"/>
      <c r="J1" s="333" t="s">
        <v>50</v>
      </c>
      <c r="K1" s="403" t="s">
        <v>204</v>
      </c>
      <c r="L1" s="404" t="s">
        <v>205</v>
      </c>
      <c r="M1" s="404" t="s">
        <v>206</v>
      </c>
      <c r="T1" t="s">
        <v>343</v>
      </c>
      <c r="V1" t="s">
        <v>344</v>
      </c>
      <c r="W1" t="s">
        <v>345</v>
      </c>
    </row>
    <row r="2" spans="1:23" ht="30.75" customHeight="1" x14ac:dyDescent="0.3">
      <c r="A2" s="66" t="s">
        <v>6</v>
      </c>
      <c r="B2" s="65" t="s">
        <v>5</v>
      </c>
      <c r="C2" s="4" t="s">
        <v>11</v>
      </c>
      <c r="D2" s="333"/>
      <c r="E2" s="333"/>
      <c r="F2" s="333"/>
      <c r="G2" s="406"/>
      <c r="H2" s="65" t="s">
        <v>367</v>
      </c>
      <c r="I2" s="10" t="s">
        <v>454</v>
      </c>
      <c r="J2" s="333"/>
      <c r="K2" s="403"/>
      <c r="L2" s="404"/>
      <c r="M2" s="404"/>
    </row>
    <row r="3" spans="1:23" x14ac:dyDescent="0.3">
      <c r="A3" s="345" t="s">
        <v>313</v>
      </c>
      <c r="B3" s="345"/>
      <c r="C3" s="345"/>
      <c r="D3" s="345"/>
      <c r="E3" s="345"/>
      <c r="F3" s="345"/>
      <c r="G3" s="345"/>
      <c r="H3" s="345"/>
      <c r="I3" s="345"/>
      <c r="J3" s="345"/>
    </row>
    <row r="4" spans="1:23" ht="15" customHeight="1" outlineLevel="1" x14ac:dyDescent="0.3">
      <c r="A4" s="346">
        <v>13</v>
      </c>
      <c r="B4" s="398" t="s">
        <v>7</v>
      </c>
      <c r="C4" s="63" t="s">
        <v>12</v>
      </c>
      <c r="D4" s="24" t="str">
        <f>CONCATENATE("1F",P4," ",Q4)</f>
        <v>1F2 Положение</v>
      </c>
      <c r="E4" s="1" t="s">
        <v>207</v>
      </c>
      <c r="F4" s="399" t="s">
        <v>28</v>
      </c>
      <c r="G4" s="397" t="s">
        <v>329</v>
      </c>
      <c r="H4" s="356" t="s">
        <v>59</v>
      </c>
      <c r="I4" s="11">
        <v>4096</v>
      </c>
      <c r="J4" s="18" t="str">
        <f>IF(OR(D4="",D4="-"),"",CONCATENATE("SPT021",K4,"/",L4,".",M4))</f>
        <v>SPT021DC/GGIO1.Ind1</v>
      </c>
      <c r="K4" s="23" t="s">
        <v>78</v>
      </c>
      <c r="L4" s="9" t="s">
        <v>244</v>
      </c>
      <c r="M4" s="9" t="s">
        <v>36</v>
      </c>
      <c r="P4" s="48">
        <v>2</v>
      </c>
      <c r="Q4" t="s">
        <v>209</v>
      </c>
      <c r="S4">
        <f>I4-4095</f>
        <v>1</v>
      </c>
      <c r="T4" t="str">
        <f>_xlfn.CONCAT($T$1,S4)</f>
        <v>lb_dd1</v>
      </c>
      <c r="U4">
        <f>S4+1999</f>
        <v>2000</v>
      </c>
      <c r="V4">
        <v>801</v>
      </c>
      <c r="W4">
        <v>1050</v>
      </c>
    </row>
    <row r="5" spans="1:23" outlineLevel="1" x14ac:dyDescent="0.3">
      <c r="A5" s="346"/>
      <c r="B5" s="398"/>
      <c r="C5" s="63" t="s">
        <v>8</v>
      </c>
      <c r="D5" s="24" t="str">
        <f t="shared" ref="D5:D17" si="0">CONCATENATE("1F",P5," ",Q5)</f>
        <v>1F2 Состояние</v>
      </c>
      <c r="E5" s="1" t="s">
        <v>208</v>
      </c>
      <c r="F5" s="400"/>
      <c r="G5" s="397"/>
      <c r="H5" s="357"/>
      <c r="I5" s="11">
        <v>4097</v>
      </c>
      <c r="J5" s="18" t="str">
        <f t="shared" ref="J5:J19" si="1">IF(OR(D5="",D5="-"),"",CONCATENATE("SPT021",K5,"/",L5,".",M5))</f>
        <v>SPT021DC/GGIO1.Alm1</v>
      </c>
      <c r="K5" s="23" t="s">
        <v>78</v>
      </c>
      <c r="L5" s="9" t="s">
        <v>244</v>
      </c>
      <c r="M5" s="34" t="s">
        <v>37</v>
      </c>
      <c r="P5" s="48">
        <v>2</v>
      </c>
      <c r="Q5" t="s">
        <v>210</v>
      </c>
      <c r="S5">
        <f t="shared" ref="S5:S19" si="2">I5-4095</f>
        <v>2</v>
      </c>
      <c r="T5" t="str">
        <f t="shared" ref="T5:T19" si="3">_xlfn.CONCAT($T$1,S5)</f>
        <v>lb_dd2</v>
      </c>
      <c r="U5">
        <f t="shared" ref="U5:U19" si="4">S5+1999</f>
        <v>2001</v>
      </c>
    </row>
    <row r="6" spans="1:23" outlineLevel="1" x14ac:dyDescent="0.3">
      <c r="A6" s="346"/>
      <c r="B6" s="398"/>
      <c r="C6" s="63" t="s">
        <v>9</v>
      </c>
      <c r="D6" s="24" t="str">
        <f t="shared" si="0"/>
        <v>1F3 Положение</v>
      </c>
      <c r="E6" s="1" t="s">
        <v>207</v>
      </c>
      <c r="F6" s="400"/>
      <c r="G6" s="397"/>
      <c r="H6" s="357"/>
      <c r="I6" s="11">
        <v>4098</v>
      </c>
      <c r="J6" s="18" t="str">
        <f t="shared" si="1"/>
        <v>SPT021DC/GGIO1.Ind2</v>
      </c>
      <c r="K6" s="23" t="s">
        <v>78</v>
      </c>
      <c r="L6" s="9" t="s">
        <v>244</v>
      </c>
      <c r="M6" s="9" t="s">
        <v>38</v>
      </c>
      <c r="P6" s="48">
        <v>3</v>
      </c>
      <c r="Q6" t="s">
        <v>209</v>
      </c>
      <c r="S6">
        <f t="shared" si="2"/>
        <v>3</v>
      </c>
      <c r="T6" t="str">
        <f t="shared" si="3"/>
        <v>lb_dd3</v>
      </c>
      <c r="U6">
        <f t="shared" si="4"/>
        <v>2002</v>
      </c>
    </row>
    <row r="7" spans="1:23" outlineLevel="1" x14ac:dyDescent="0.3">
      <c r="A7" s="346"/>
      <c r="B7" s="398"/>
      <c r="C7" s="63" t="s">
        <v>13</v>
      </c>
      <c r="D7" s="24" t="str">
        <f t="shared" si="0"/>
        <v>1F3 Состояние</v>
      </c>
      <c r="E7" s="1" t="s">
        <v>208</v>
      </c>
      <c r="F7" s="400"/>
      <c r="G7" s="397"/>
      <c r="H7" s="357"/>
      <c r="I7" s="11">
        <v>4099</v>
      </c>
      <c r="J7" s="18" t="str">
        <f t="shared" si="1"/>
        <v>SPT021DC/GGIO1.Alm2</v>
      </c>
      <c r="K7" s="23" t="s">
        <v>78</v>
      </c>
      <c r="L7" s="9" t="s">
        <v>244</v>
      </c>
      <c r="M7" s="34" t="s">
        <v>39</v>
      </c>
      <c r="P7" s="48">
        <v>3</v>
      </c>
      <c r="Q7" t="s">
        <v>210</v>
      </c>
      <c r="S7">
        <f t="shared" si="2"/>
        <v>4</v>
      </c>
      <c r="T7" t="str">
        <f t="shared" si="3"/>
        <v>lb_dd4</v>
      </c>
      <c r="U7">
        <f t="shared" si="4"/>
        <v>2003</v>
      </c>
    </row>
    <row r="8" spans="1:23" outlineLevel="1" x14ac:dyDescent="0.3">
      <c r="A8" s="346"/>
      <c r="B8" s="398"/>
      <c r="C8" s="63" t="s">
        <v>14</v>
      </c>
      <c r="D8" s="24" t="str">
        <f t="shared" si="0"/>
        <v>1F4 Положение</v>
      </c>
      <c r="E8" s="1" t="s">
        <v>207</v>
      </c>
      <c r="F8" s="400"/>
      <c r="G8" s="397"/>
      <c r="H8" s="357"/>
      <c r="I8" s="11">
        <v>4100</v>
      </c>
      <c r="J8" s="18" t="str">
        <f t="shared" si="1"/>
        <v>SPT021DC/GGIO1.Ind3</v>
      </c>
      <c r="K8" s="23" t="s">
        <v>78</v>
      </c>
      <c r="L8" s="9" t="s">
        <v>244</v>
      </c>
      <c r="M8" s="9" t="s">
        <v>40</v>
      </c>
      <c r="P8" s="48">
        <v>4</v>
      </c>
      <c r="Q8" t="s">
        <v>209</v>
      </c>
      <c r="S8">
        <f t="shared" si="2"/>
        <v>5</v>
      </c>
      <c r="T8" t="str">
        <f t="shared" si="3"/>
        <v>lb_dd5</v>
      </c>
      <c r="U8">
        <f t="shared" si="4"/>
        <v>2004</v>
      </c>
    </row>
    <row r="9" spans="1:23" outlineLevel="1" x14ac:dyDescent="0.3">
      <c r="A9" s="346"/>
      <c r="B9" s="398"/>
      <c r="C9" s="63" t="s">
        <v>15</v>
      </c>
      <c r="D9" s="24" t="str">
        <f t="shared" si="0"/>
        <v>1F4 Состояние</v>
      </c>
      <c r="E9" s="1" t="s">
        <v>208</v>
      </c>
      <c r="F9" s="400"/>
      <c r="G9" s="397"/>
      <c r="H9" s="357"/>
      <c r="I9" s="11">
        <v>4101</v>
      </c>
      <c r="J9" s="18" t="str">
        <f t="shared" si="1"/>
        <v>SPT021DC/GGIO1.Alm3</v>
      </c>
      <c r="K9" s="23" t="s">
        <v>78</v>
      </c>
      <c r="L9" s="9" t="s">
        <v>244</v>
      </c>
      <c r="M9" s="34" t="s">
        <v>41</v>
      </c>
      <c r="P9" s="48">
        <v>4</v>
      </c>
      <c r="Q9" t="s">
        <v>210</v>
      </c>
      <c r="S9">
        <f t="shared" si="2"/>
        <v>6</v>
      </c>
      <c r="T9" t="str">
        <f t="shared" si="3"/>
        <v>lb_dd6</v>
      </c>
      <c r="U9">
        <f t="shared" si="4"/>
        <v>2005</v>
      </c>
    </row>
    <row r="10" spans="1:23" outlineLevel="1" x14ac:dyDescent="0.3">
      <c r="A10" s="346"/>
      <c r="B10" s="398"/>
      <c r="C10" s="63" t="s">
        <v>16</v>
      </c>
      <c r="D10" s="24" t="str">
        <f t="shared" si="0"/>
        <v>1F3.1 Положение</v>
      </c>
      <c r="E10" s="1" t="s">
        <v>207</v>
      </c>
      <c r="F10" s="400"/>
      <c r="G10" s="397"/>
      <c r="H10" s="357"/>
      <c r="I10" s="11">
        <v>4102</v>
      </c>
      <c r="J10" s="18" t="str">
        <f t="shared" si="1"/>
        <v>SPT021DC/GGIO1.Ind4</v>
      </c>
      <c r="K10" s="23" t="s">
        <v>78</v>
      </c>
      <c r="L10" s="9" t="s">
        <v>244</v>
      </c>
      <c r="M10" s="9" t="s">
        <v>42</v>
      </c>
      <c r="P10" s="50" t="s">
        <v>291</v>
      </c>
      <c r="Q10" t="s">
        <v>209</v>
      </c>
      <c r="S10">
        <f t="shared" si="2"/>
        <v>7</v>
      </c>
      <c r="T10" t="str">
        <f t="shared" si="3"/>
        <v>lb_dd7</v>
      </c>
      <c r="U10">
        <f t="shared" si="4"/>
        <v>2006</v>
      </c>
    </row>
    <row r="11" spans="1:23" outlineLevel="1" x14ac:dyDescent="0.3">
      <c r="A11" s="346"/>
      <c r="B11" s="398"/>
      <c r="C11" s="63" t="s">
        <v>17</v>
      </c>
      <c r="D11" s="24" t="str">
        <f t="shared" si="0"/>
        <v>1F3.1 Состояние</v>
      </c>
      <c r="E11" s="1" t="s">
        <v>208</v>
      </c>
      <c r="F11" s="400"/>
      <c r="G11" s="397"/>
      <c r="H11" s="357"/>
      <c r="I11" s="11">
        <v>4103</v>
      </c>
      <c r="J11" s="18" t="str">
        <f t="shared" si="1"/>
        <v>SPT021DC/GGIO1.Alm4</v>
      </c>
      <c r="K11" s="23" t="s">
        <v>78</v>
      </c>
      <c r="L11" s="9" t="s">
        <v>244</v>
      </c>
      <c r="M11" s="34" t="s">
        <v>43</v>
      </c>
      <c r="P11" s="50" t="s">
        <v>291</v>
      </c>
      <c r="Q11" t="s">
        <v>210</v>
      </c>
      <c r="S11">
        <f t="shared" si="2"/>
        <v>8</v>
      </c>
      <c r="T11" t="str">
        <f t="shared" si="3"/>
        <v>lb_dd8</v>
      </c>
      <c r="U11">
        <f t="shared" si="4"/>
        <v>2007</v>
      </c>
    </row>
    <row r="12" spans="1:23" outlineLevel="1" x14ac:dyDescent="0.3">
      <c r="A12" s="346"/>
      <c r="B12" s="398"/>
      <c r="C12" s="63" t="s">
        <v>18</v>
      </c>
      <c r="D12" s="24" t="str">
        <f t="shared" si="0"/>
        <v>1F3.2 Положение</v>
      </c>
      <c r="E12" s="1" t="s">
        <v>207</v>
      </c>
      <c r="F12" s="400"/>
      <c r="G12" s="397"/>
      <c r="H12" s="357"/>
      <c r="I12" s="11">
        <v>4104</v>
      </c>
      <c r="J12" s="18" t="str">
        <f t="shared" si="1"/>
        <v>SPT021DC/GGIO1.Ind5</v>
      </c>
      <c r="K12" s="23" t="s">
        <v>78</v>
      </c>
      <c r="L12" s="9" t="s">
        <v>244</v>
      </c>
      <c r="M12" s="9" t="s">
        <v>44</v>
      </c>
      <c r="P12" s="50" t="s">
        <v>292</v>
      </c>
      <c r="Q12" t="s">
        <v>209</v>
      </c>
      <c r="S12">
        <f t="shared" si="2"/>
        <v>9</v>
      </c>
      <c r="T12" t="str">
        <f t="shared" si="3"/>
        <v>lb_dd9</v>
      </c>
      <c r="U12">
        <f t="shared" si="4"/>
        <v>2008</v>
      </c>
    </row>
    <row r="13" spans="1:23" outlineLevel="1" x14ac:dyDescent="0.3">
      <c r="A13" s="346"/>
      <c r="B13" s="398"/>
      <c r="C13" s="63" t="s">
        <v>19</v>
      </c>
      <c r="D13" s="24" t="str">
        <f>CONCATENATE("1F",P13," ",Q13)</f>
        <v>1F3.2 Состояние</v>
      </c>
      <c r="E13" s="1" t="s">
        <v>208</v>
      </c>
      <c r="F13" s="400"/>
      <c r="G13" s="397"/>
      <c r="H13" s="357"/>
      <c r="I13" s="11">
        <v>4105</v>
      </c>
      <c r="J13" s="18" t="str">
        <f t="shared" si="1"/>
        <v>SPT021DC/GGIO1.Alm5</v>
      </c>
      <c r="K13" s="23" t="s">
        <v>78</v>
      </c>
      <c r="L13" s="9" t="s">
        <v>244</v>
      </c>
      <c r="M13" s="34" t="s">
        <v>45</v>
      </c>
      <c r="P13" s="50" t="s">
        <v>292</v>
      </c>
      <c r="Q13" t="s">
        <v>210</v>
      </c>
      <c r="S13">
        <f t="shared" si="2"/>
        <v>10</v>
      </c>
      <c r="T13" t="str">
        <f t="shared" si="3"/>
        <v>lb_dd10</v>
      </c>
      <c r="U13">
        <f t="shared" si="4"/>
        <v>2009</v>
      </c>
    </row>
    <row r="14" spans="1:23" outlineLevel="1" x14ac:dyDescent="0.3">
      <c r="A14" s="346"/>
      <c r="B14" s="398"/>
      <c r="C14" s="63" t="s">
        <v>20</v>
      </c>
      <c r="D14" s="24" t="str">
        <f t="shared" si="0"/>
        <v>1F5 Положение</v>
      </c>
      <c r="E14" s="1" t="s">
        <v>207</v>
      </c>
      <c r="F14" s="400"/>
      <c r="G14" s="397"/>
      <c r="H14" s="357"/>
      <c r="I14" s="11">
        <v>4106</v>
      </c>
      <c r="J14" s="18" t="str">
        <f t="shared" si="1"/>
        <v>SPT021DC/GGIO1.Ind6</v>
      </c>
      <c r="K14" s="23" t="s">
        <v>78</v>
      </c>
      <c r="L14" s="9" t="s">
        <v>244</v>
      </c>
      <c r="M14" s="9" t="s">
        <v>46</v>
      </c>
      <c r="P14" s="50">
        <v>5</v>
      </c>
      <c r="Q14" t="s">
        <v>209</v>
      </c>
      <c r="S14">
        <f t="shared" si="2"/>
        <v>11</v>
      </c>
      <c r="T14" t="str">
        <f t="shared" si="3"/>
        <v>lb_dd11</v>
      </c>
      <c r="U14">
        <f t="shared" si="4"/>
        <v>2010</v>
      </c>
    </row>
    <row r="15" spans="1:23" outlineLevel="1" x14ac:dyDescent="0.3">
      <c r="A15" s="346"/>
      <c r="B15" s="398"/>
      <c r="C15" s="63" t="s">
        <v>21</v>
      </c>
      <c r="D15" s="24" t="str">
        <f t="shared" si="0"/>
        <v>1F5 Состояние</v>
      </c>
      <c r="E15" s="1" t="s">
        <v>208</v>
      </c>
      <c r="F15" s="400"/>
      <c r="G15" s="397"/>
      <c r="H15" s="357"/>
      <c r="I15" s="11">
        <v>4107</v>
      </c>
      <c r="J15" s="18" t="str">
        <f t="shared" si="1"/>
        <v>SPT021DC/GGIO1.Alm6</v>
      </c>
      <c r="K15" s="23" t="s">
        <v>78</v>
      </c>
      <c r="L15" s="9" t="s">
        <v>244</v>
      </c>
      <c r="M15" s="34" t="s">
        <v>47</v>
      </c>
      <c r="P15" s="50" t="s">
        <v>15</v>
      </c>
      <c r="Q15" t="s">
        <v>210</v>
      </c>
      <c r="S15">
        <f t="shared" si="2"/>
        <v>12</v>
      </c>
      <c r="T15" t="str">
        <f t="shared" si="3"/>
        <v>lb_dd12</v>
      </c>
      <c r="U15">
        <f t="shared" si="4"/>
        <v>2011</v>
      </c>
    </row>
    <row r="16" spans="1:23" outlineLevel="1" x14ac:dyDescent="0.3">
      <c r="A16" s="346"/>
      <c r="B16" s="398"/>
      <c r="C16" s="63" t="s">
        <v>22</v>
      </c>
      <c r="D16" s="24" t="str">
        <f t="shared" si="0"/>
        <v>1F6 Положение</v>
      </c>
      <c r="E16" s="1" t="s">
        <v>207</v>
      </c>
      <c r="F16" s="400"/>
      <c r="G16" s="397"/>
      <c r="H16" s="357"/>
      <c r="I16" s="11">
        <v>4108</v>
      </c>
      <c r="J16" s="18" t="str">
        <f t="shared" si="1"/>
        <v>SPT021DC/GGIO1.Ind7</v>
      </c>
      <c r="K16" s="23" t="s">
        <v>78</v>
      </c>
      <c r="L16" s="9" t="s">
        <v>244</v>
      </c>
      <c r="M16" s="9" t="s">
        <v>48</v>
      </c>
      <c r="P16" s="50" t="s">
        <v>16</v>
      </c>
      <c r="Q16" t="s">
        <v>209</v>
      </c>
      <c r="S16">
        <f t="shared" si="2"/>
        <v>13</v>
      </c>
      <c r="T16" t="str">
        <f t="shared" si="3"/>
        <v>lb_dd13</v>
      </c>
      <c r="U16">
        <f t="shared" si="4"/>
        <v>2012</v>
      </c>
    </row>
    <row r="17" spans="1:23" outlineLevel="1" x14ac:dyDescent="0.3">
      <c r="A17" s="346"/>
      <c r="B17" s="398"/>
      <c r="C17" s="63" t="s">
        <v>23</v>
      </c>
      <c r="D17" s="24" t="str">
        <f t="shared" si="0"/>
        <v>1F6 Состояние</v>
      </c>
      <c r="E17" s="1" t="s">
        <v>208</v>
      </c>
      <c r="F17" s="400"/>
      <c r="G17" s="397"/>
      <c r="H17" s="357"/>
      <c r="I17" s="11">
        <v>4109</v>
      </c>
      <c r="J17" s="18" t="str">
        <f t="shared" si="1"/>
        <v>SPT021DC/GGIO1.Alm7</v>
      </c>
      <c r="K17" s="23" t="s">
        <v>78</v>
      </c>
      <c r="L17" s="9" t="s">
        <v>244</v>
      </c>
      <c r="M17" s="34" t="s">
        <v>49</v>
      </c>
      <c r="P17" s="50" t="s">
        <v>16</v>
      </c>
      <c r="Q17" t="s">
        <v>210</v>
      </c>
      <c r="S17">
        <f t="shared" si="2"/>
        <v>14</v>
      </c>
      <c r="T17" t="str">
        <f t="shared" si="3"/>
        <v>lb_dd14</v>
      </c>
      <c r="U17">
        <f t="shared" si="4"/>
        <v>2013</v>
      </c>
    </row>
    <row r="18" spans="1:23" outlineLevel="1" x14ac:dyDescent="0.3">
      <c r="A18" s="346"/>
      <c r="B18" s="398"/>
      <c r="C18" s="63" t="s">
        <v>24</v>
      </c>
      <c r="D18" s="25" t="s">
        <v>29</v>
      </c>
      <c r="E18" s="25" t="s">
        <v>29</v>
      </c>
      <c r="F18" s="400"/>
      <c r="G18" s="397"/>
      <c r="H18" s="357"/>
      <c r="I18" s="11">
        <v>4110</v>
      </c>
      <c r="J18" s="18" t="str">
        <f t="shared" si="1"/>
        <v/>
      </c>
      <c r="M18" s="9"/>
      <c r="P18" s="50" t="s">
        <v>17</v>
      </c>
      <c r="Q18" t="s">
        <v>209</v>
      </c>
      <c r="S18">
        <f t="shared" si="2"/>
        <v>15</v>
      </c>
      <c r="T18" t="str">
        <f t="shared" si="3"/>
        <v>lb_dd15</v>
      </c>
      <c r="U18">
        <f t="shared" si="4"/>
        <v>2014</v>
      </c>
    </row>
    <row r="19" spans="1:23" outlineLevel="1" x14ac:dyDescent="0.3">
      <c r="A19" s="346"/>
      <c r="B19" s="398"/>
      <c r="C19" s="63" t="s">
        <v>25</v>
      </c>
      <c r="D19" s="24" t="s">
        <v>293</v>
      </c>
      <c r="E19" s="1" t="s">
        <v>208</v>
      </c>
      <c r="F19" s="401"/>
      <c r="G19" s="397"/>
      <c r="H19" s="358"/>
      <c r="I19" s="11">
        <v>4111</v>
      </c>
      <c r="J19" s="18" t="str">
        <f t="shared" si="1"/>
        <v>SPT021DC/GGIO1.Alm8</v>
      </c>
      <c r="K19" s="23" t="s">
        <v>78</v>
      </c>
      <c r="L19" s="9" t="s">
        <v>244</v>
      </c>
      <c r="M19" s="34" t="s">
        <v>56</v>
      </c>
      <c r="P19" s="50" t="s">
        <v>17</v>
      </c>
      <c r="Q19" t="s">
        <v>210</v>
      </c>
      <c r="S19">
        <f t="shared" si="2"/>
        <v>16</v>
      </c>
      <c r="T19" t="str">
        <f t="shared" si="3"/>
        <v>lb_dd16</v>
      </c>
      <c r="U19">
        <f t="shared" si="4"/>
        <v>2015</v>
      </c>
    </row>
    <row r="20" spans="1:23" x14ac:dyDescent="0.3">
      <c r="A20" s="402"/>
      <c r="B20" s="402"/>
      <c r="C20" s="402"/>
      <c r="D20" s="402"/>
      <c r="E20" s="402"/>
      <c r="F20" s="402"/>
      <c r="G20" s="402"/>
      <c r="H20" s="402"/>
      <c r="I20" s="402"/>
      <c r="J20" s="402"/>
    </row>
    <row r="21" spans="1:23" x14ac:dyDescent="0.3">
      <c r="A21" s="345" t="s">
        <v>312</v>
      </c>
      <c r="B21" s="345"/>
      <c r="C21" s="345"/>
      <c r="D21" s="345"/>
      <c r="E21" s="345"/>
      <c r="F21" s="345"/>
      <c r="G21" s="345"/>
      <c r="H21" s="345"/>
      <c r="I21" s="345"/>
      <c r="J21" s="345"/>
    </row>
    <row r="22" spans="1:23" hidden="1" outlineLevel="1" x14ac:dyDescent="0.3">
      <c r="A22" s="346">
        <v>14</v>
      </c>
      <c r="B22" s="398" t="s">
        <v>7</v>
      </c>
      <c r="C22" s="63" t="s">
        <v>12</v>
      </c>
      <c r="D22" s="24" t="str">
        <f>CONCATENATE("2F",P22," ",Q22)</f>
        <v>2F2 Положение</v>
      </c>
      <c r="E22" s="1" t="s">
        <v>207</v>
      </c>
      <c r="F22" s="399" t="s">
        <v>28</v>
      </c>
      <c r="G22" s="397" t="s">
        <v>329</v>
      </c>
      <c r="H22" s="356" t="s">
        <v>59</v>
      </c>
      <c r="I22" s="11">
        <v>4112</v>
      </c>
      <c r="J22" s="18" t="str">
        <f>IF(OR(D22="",D22="-"),"",CONCATENATE("SPT021",K22,"/",L22,".",M22))</f>
        <v>SPT021DC/GGIO2.Ind1</v>
      </c>
      <c r="K22" s="23" t="s">
        <v>78</v>
      </c>
      <c r="L22" s="9" t="s">
        <v>245</v>
      </c>
      <c r="M22" s="9" t="s">
        <v>36</v>
      </c>
      <c r="P22" s="48">
        <v>2</v>
      </c>
      <c r="Q22" t="s">
        <v>209</v>
      </c>
      <c r="S22">
        <f t="shared" ref="S22:S37" si="5">I22-4095</f>
        <v>17</v>
      </c>
      <c r="T22" t="str">
        <f t="shared" ref="T22:T37" si="6">_xlfn.CONCAT($T$1,S22)</f>
        <v>lb_dd17</v>
      </c>
      <c r="U22">
        <f t="shared" ref="U22:U37" si="7">S22+1999</f>
        <v>2016</v>
      </c>
      <c r="V22">
        <v>809</v>
      </c>
      <c r="W22">
        <v>1058</v>
      </c>
    </row>
    <row r="23" spans="1:23" hidden="1" outlineLevel="1" x14ac:dyDescent="0.3">
      <c r="A23" s="346"/>
      <c r="B23" s="398"/>
      <c r="C23" s="63" t="s">
        <v>8</v>
      </c>
      <c r="D23" s="24" t="str">
        <f t="shared" ref="D23:D33" si="8">CONCATENATE("2F",P23," ",Q23)</f>
        <v>2F2 Состояние</v>
      </c>
      <c r="E23" s="1" t="s">
        <v>208</v>
      </c>
      <c r="F23" s="400"/>
      <c r="G23" s="397"/>
      <c r="H23" s="357"/>
      <c r="I23" s="11">
        <v>4113</v>
      </c>
      <c r="J23" s="18" t="str">
        <f t="shared" ref="J23:J37" si="9">IF(OR(D23="",D23="-"),"",CONCATENATE("SPT021",K23,"/",L23,".",M23))</f>
        <v>SPT021DC/GGIO2.Alm1</v>
      </c>
      <c r="K23" s="23" t="s">
        <v>78</v>
      </c>
      <c r="L23" s="9" t="s">
        <v>245</v>
      </c>
      <c r="M23" s="34" t="s">
        <v>37</v>
      </c>
      <c r="P23" s="48">
        <v>2</v>
      </c>
      <c r="Q23" t="s">
        <v>210</v>
      </c>
      <c r="S23">
        <f t="shared" si="5"/>
        <v>18</v>
      </c>
      <c r="T23" t="str">
        <f t="shared" si="6"/>
        <v>lb_dd18</v>
      </c>
      <c r="U23">
        <f t="shared" si="7"/>
        <v>2017</v>
      </c>
    </row>
    <row r="24" spans="1:23" hidden="1" outlineLevel="1" x14ac:dyDescent="0.3">
      <c r="A24" s="346"/>
      <c r="B24" s="398"/>
      <c r="C24" s="63" t="s">
        <v>9</v>
      </c>
      <c r="D24" s="24" t="str">
        <f t="shared" si="8"/>
        <v>2F3 Положение</v>
      </c>
      <c r="E24" s="1" t="s">
        <v>207</v>
      </c>
      <c r="F24" s="400"/>
      <c r="G24" s="397"/>
      <c r="H24" s="357"/>
      <c r="I24" s="11">
        <v>4114</v>
      </c>
      <c r="J24" s="18" t="str">
        <f t="shared" si="9"/>
        <v>SPT021DC/GGIO2.Ind2</v>
      </c>
      <c r="K24" s="23" t="s">
        <v>78</v>
      </c>
      <c r="L24" s="9" t="s">
        <v>245</v>
      </c>
      <c r="M24" s="9" t="s">
        <v>38</v>
      </c>
      <c r="P24" s="48">
        <v>3</v>
      </c>
      <c r="Q24" t="s">
        <v>209</v>
      </c>
      <c r="S24">
        <f t="shared" si="5"/>
        <v>19</v>
      </c>
      <c r="T24" t="str">
        <f t="shared" si="6"/>
        <v>lb_dd19</v>
      </c>
      <c r="U24">
        <f t="shared" si="7"/>
        <v>2018</v>
      </c>
    </row>
    <row r="25" spans="1:23" hidden="1" outlineLevel="1" x14ac:dyDescent="0.3">
      <c r="A25" s="346"/>
      <c r="B25" s="398"/>
      <c r="C25" s="63" t="s">
        <v>13</v>
      </c>
      <c r="D25" s="24" t="str">
        <f t="shared" si="8"/>
        <v>2F3 Состояние</v>
      </c>
      <c r="E25" s="1" t="s">
        <v>208</v>
      </c>
      <c r="F25" s="400"/>
      <c r="G25" s="397"/>
      <c r="H25" s="357"/>
      <c r="I25" s="11">
        <v>4115</v>
      </c>
      <c r="J25" s="18" t="str">
        <f t="shared" si="9"/>
        <v>SPT021DC/GGIO2.Alm2</v>
      </c>
      <c r="K25" s="23" t="s">
        <v>78</v>
      </c>
      <c r="L25" s="9" t="s">
        <v>245</v>
      </c>
      <c r="M25" s="34" t="s">
        <v>39</v>
      </c>
      <c r="P25" s="48">
        <v>3</v>
      </c>
      <c r="Q25" t="s">
        <v>210</v>
      </c>
      <c r="S25">
        <f t="shared" si="5"/>
        <v>20</v>
      </c>
      <c r="T25" t="str">
        <f t="shared" si="6"/>
        <v>lb_dd20</v>
      </c>
      <c r="U25">
        <f t="shared" si="7"/>
        <v>2019</v>
      </c>
    </row>
    <row r="26" spans="1:23" hidden="1" outlineLevel="1" x14ac:dyDescent="0.3">
      <c r="A26" s="346"/>
      <c r="B26" s="398"/>
      <c r="C26" s="63" t="s">
        <v>14</v>
      </c>
      <c r="D26" s="24" t="str">
        <f t="shared" si="8"/>
        <v>2F4 Положение</v>
      </c>
      <c r="E26" s="1" t="s">
        <v>207</v>
      </c>
      <c r="F26" s="400"/>
      <c r="G26" s="397"/>
      <c r="H26" s="357"/>
      <c r="I26" s="11">
        <v>4116</v>
      </c>
      <c r="J26" s="18" t="str">
        <f t="shared" si="9"/>
        <v>SPT021DC/GGIO2.Ind3</v>
      </c>
      <c r="K26" s="23" t="s">
        <v>78</v>
      </c>
      <c r="L26" s="9" t="s">
        <v>245</v>
      </c>
      <c r="M26" s="9" t="s">
        <v>40</v>
      </c>
      <c r="P26" s="48">
        <v>4</v>
      </c>
      <c r="Q26" t="s">
        <v>209</v>
      </c>
      <c r="S26">
        <f t="shared" si="5"/>
        <v>21</v>
      </c>
      <c r="T26" t="str">
        <f t="shared" si="6"/>
        <v>lb_dd21</v>
      </c>
      <c r="U26">
        <f t="shared" si="7"/>
        <v>2020</v>
      </c>
    </row>
    <row r="27" spans="1:23" hidden="1" outlineLevel="1" x14ac:dyDescent="0.3">
      <c r="A27" s="346"/>
      <c r="B27" s="398"/>
      <c r="C27" s="63" t="s">
        <v>15</v>
      </c>
      <c r="D27" s="24" t="str">
        <f t="shared" si="8"/>
        <v>2F4 Состояние</v>
      </c>
      <c r="E27" s="1" t="s">
        <v>208</v>
      </c>
      <c r="F27" s="400"/>
      <c r="G27" s="397"/>
      <c r="H27" s="357"/>
      <c r="I27" s="11">
        <v>4117</v>
      </c>
      <c r="J27" s="18" t="str">
        <f t="shared" si="9"/>
        <v>SPT021DC/GGIO2.Alm3</v>
      </c>
      <c r="K27" s="23" t="s">
        <v>78</v>
      </c>
      <c r="L27" s="9" t="s">
        <v>245</v>
      </c>
      <c r="M27" s="34" t="s">
        <v>41</v>
      </c>
      <c r="P27" s="48">
        <v>4</v>
      </c>
      <c r="Q27" t="s">
        <v>210</v>
      </c>
      <c r="S27">
        <f t="shared" si="5"/>
        <v>22</v>
      </c>
      <c r="T27" t="str">
        <f t="shared" si="6"/>
        <v>lb_dd22</v>
      </c>
      <c r="U27">
        <f t="shared" si="7"/>
        <v>2021</v>
      </c>
    </row>
    <row r="28" spans="1:23" hidden="1" outlineLevel="1" x14ac:dyDescent="0.3">
      <c r="A28" s="346"/>
      <c r="B28" s="398"/>
      <c r="C28" s="63" t="s">
        <v>16</v>
      </c>
      <c r="D28" s="24" t="str">
        <f t="shared" si="8"/>
        <v>2F5 Положение</v>
      </c>
      <c r="E28" s="1" t="s">
        <v>207</v>
      </c>
      <c r="F28" s="400"/>
      <c r="G28" s="397"/>
      <c r="H28" s="357"/>
      <c r="I28" s="11">
        <v>4118</v>
      </c>
      <c r="J28" s="18" t="str">
        <f t="shared" si="9"/>
        <v>SPT021DC/GGIO2.Ind4</v>
      </c>
      <c r="K28" s="23" t="s">
        <v>78</v>
      </c>
      <c r="L28" s="9" t="s">
        <v>245</v>
      </c>
      <c r="M28" s="9" t="s">
        <v>42</v>
      </c>
      <c r="P28" s="48">
        <v>5</v>
      </c>
      <c r="Q28" t="s">
        <v>209</v>
      </c>
      <c r="S28">
        <f t="shared" si="5"/>
        <v>23</v>
      </c>
      <c r="T28" t="str">
        <f t="shared" si="6"/>
        <v>lb_dd23</v>
      </c>
      <c r="U28">
        <f t="shared" si="7"/>
        <v>2022</v>
      </c>
    </row>
    <row r="29" spans="1:23" hidden="1" outlineLevel="1" x14ac:dyDescent="0.3">
      <c r="A29" s="346"/>
      <c r="B29" s="398"/>
      <c r="C29" s="63" t="s">
        <v>17</v>
      </c>
      <c r="D29" s="24" t="str">
        <f t="shared" si="8"/>
        <v>2F5 Состояние</v>
      </c>
      <c r="E29" s="1" t="s">
        <v>208</v>
      </c>
      <c r="F29" s="400"/>
      <c r="G29" s="397"/>
      <c r="H29" s="357"/>
      <c r="I29" s="11">
        <v>4119</v>
      </c>
      <c r="J29" s="18" t="str">
        <f t="shared" si="9"/>
        <v>SPT021DC/GGIO2.Alm4</v>
      </c>
      <c r="K29" s="23" t="s">
        <v>78</v>
      </c>
      <c r="L29" s="9" t="s">
        <v>245</v>
      </c>
      <c r="M29" s="34" t="s">
        <v>43</v>
      </c>
      <c r="P29" s="48">
        <v>5</v>
      </c>
      <c r="Q29" t="s">
        <v>210</v>
      </c>
      <c r="S29">
        <f t="shared" si="5"/>
        <v>24</v>
      </c>
      <c r="T29" t="str">
        <f t="shared" si="6"/>
        <v>lb_dd24</v>
      </c>
      <c r="U29">
        <f t="shared" si="7"/>
        <v>2023</v>
      </c>
    </row>
    <row r="30" spans="1:23" hidden="1" outlineLevel="1" x14ac:dyDescent="0.3">
      <c r="A30" s="346"/>
      <c r="B30" s="398"/>
      <c r="C30" s="63" t="s">
        <v>18</v>
      </c>
      <c r="D30" s="24" t="str">
        <f t="shared" si="8"/>
        <v>2F6 Положение</v>
      </c>
      <c r="E30" s="1" t="s">
        <v>207</v>
      </c>
      <c r="F30" s="400"/>
      <c r="G30" s="397"/>
      <c r="H30" s="357"/>
      <c r="I30" s="11">
        <v>4120</v>
      </c>
      <c r="J30" s="18" t="str">
        <f t="shared" si="9"/>
        <v>SPT021DC/GGIO2.Ind5</v>
      </c>
      <c r="K30" s="23" t="s">
        <v>78</v>
      </c>
      <c r="L30" s="9" t="s">
        <v>245</v>
      </c>
      <c r="M30" s="9" t="s">
        <v>44</v>
      </c>
      <c r="P30" s="50" t="s">
        <v>16</v>
      </c>
      <c r="Q30" t="s">
        <v>209</v>
      </c>
      <c r="S30">
        <f t="shared" si="5"/>
        <v>25</v>
      </c>
      <c r="T30" t="str">
        <f t="shared" si="6"/>
        <v>lb_dd25</v>
      </c>
      <c r="U30">
        <f t="shared" si="7"/>
        <v>2024</v>
      </c>
    </row>
    <row r="31" spans="1:23" hidden="1" outlineLevel="1" x14ac:dyDescent="0.3">
      <c r="A31" s="346"/>
      <c r="B31" s="398"/>
      <c r="C31" s="63" t="s">
        <v>19</v>
      </c>
      <c r="D31" s="24" t="str">
        <f t="shared" si="8"/>
        <v>2F6 Состояние</v>
      </c>
      <c r="E31" s="1" t="s">
        <v>208</v>
      </c>
      <c r="F31" s="400"/>
      <c r="G31" s="397"/>
      <c r="H31" s="357"/>
      <c r="I31" s="11">
        <v>4121</v>
      </c>
      <c r="J31" s="18" t="str">
        <f t="shared" si="9"/>
        <v>SPT021DC/GGIO2.Alm5</v>
      </c>
      <c r="K31" s="23" t="s">
        <v>78</v>
      </c>
      <c r="L31" s="9" t="s">
        <v>245</v>
      </c>
      <c r="M31" s="34" t="s">
        <v>45</v>
      </c>
      <c r="P31" s="50" t="s">
        <v>16</v>
      </c>
      <c r="Q31" t="s">
        <v>210</v>
      </c>
      <c r="S31">
        <f t="shared" si="5"/>
        <v>26</v>
      </c>
      <c r="T31" t="str">
        <f t="shared" si="6"/>
        <v>lb_dd26</v>
      </c>
      <c r="U31">
        <f t="shared" si="7"/>
        <v>2025</v>
      </c>
    </row>
    <row r="32" spans="1:23" hidden="1" outlineLevel="1" x14ac:dyDescent="0.3">
      <c r="A32" s="346"/>
      <c r="B32" s="398"/>
      <c r="C32" s="63" t="s">
        <v>20</v>
      </c>
      <c r="D32" s="24" t="str">
        <f t="shared" si="8"/>
        <v>2F3.1 Положение</v>
      </c>
      <c r="E32" s="1" t="s">
        <v>207</v>
      </c>
      <c r="F32" s="400"/>
      <c r="G32" s="397"/>
      <c r="H32" s="357"/>
      <c r="I32" s="11">
        <v>4122</v>
      </c>
      <c r="J32" s="18" t="str">
        <f t="shared" si="9"/>
        <v>SPT021DC/GGIO2.Ind6</v>
      </c>
      <c r="K32" s="23" t="s">
        <v>78</v>
      </c>
      <c r="L32" s="9" t="s">
        <v>245</v>
      </c>
      <c r="M32" s="9" t="s">
        <v>46</v>
      </c>
      <c r="P32" s="50" t="s">
        <v>291</v>
      </c>
      <c r="Q32" t="s">
        <v>209</v>
      </c>
      <c r="S32">
        <f t="shared" si="5"/>
        <v>27</v>
      </c>
      <c r="T32" t="str">
        <f t="shared" si="6"/>
        <v>lb_dd27</v>
      </c>
      <c r="U32">
        <f t="shared" si="7"/>
        <v>2026</v>
      </c>
    </row>
    <row r="33" spans="1:23" hidden="1" outlineLevel="1" x14ac:dyDescent="0.3">
      <c r="A33" s="346"/>
      <c r="B33" s="398"/>
      <c r="C33" s="63" t="s">
        <v>21</v>
      </c>
      <c r="D33" s="24" t="str">
        <f t="shared" si="8"/>
        <v>2F3.1 Состояние</v>
      </c>
      <c r="E33" s="1" t="s">
        <v>208</v>
      </c>
      <c r="F33" s="400"/>
      <c r="G33" s="397"/>
      <c r="H33" s="357"/>
      <c r="I33" s="11">
        <v>4123</v>
      </c>
      <c r="J33" s="18" t="str">
        <f t="shared" si="9"/>
        <v>SPT021DC/GGIO2.Alm6</v>
      </c>
      <c r="K33" s="23" t="s">
        <v>78</v>
      </c>
      <c r="L33" s="9" t="s">
        <v>245</v>
      </c>
      <c r="M33" s="34" t="s">
        <v>47</v>
      </c>
      <c r="P33" s="50" t="s">
        <v>291</v>
      </c>
      <c r="Q33" t="s">
        <v>210</v>
      </c>
      <c r="S33">
        <f t="shared" si="5"/>
        <v>28</v>
      </c>
      <c r="T33" t="str">
        <f t="shared" si="6"/>
        <v>lb_dd28</v>
      </c>
      <c r="U33">
        <f t="shared" si="7"/>
        <v>2027</v>
      </c>
    </row>
    <row r="34" spans="1:23" hidden="1" outlineLevel="1" x14ac:dyDescent="0.3">
      <c r="A34" s="346"/>
      <c r="B34" s="398"/>
      <c r="C34" s="63" t="s">
        <v>22</v>
      </c>
      <c r="D34" s="25" t="s">
        <v>29</v>
      </c>
      <c r="E34" s="25" t="s">
        <v>29</v>
      </c>
      <c r="F34" s="400"/>
      <c r="G34" s="397"/>
      <c r="H34" s="357"/>
      <c r="I34" s="11">
        <v>4124</v>
      </c>
      <c r="J34" s="18" t="str">
        <f t="shared" si="9"/>
        <v/>
      </c>
      <c r="M34" s="9"/>
      <c r="P34" s="50"/>
      <c r="S34">
        <f t="shared" si="5"/>
        <v>29</v>
      </c>
      <c r="T34" t="str">
        <f t="shared" si="6"/>
        <v>lb_dd29</v>
      </c>
      <c r="U34">
        <f t="shared" si="7"/>
        <v>2028</v>
      </c>
    </row>
    <row r="35" spans="1:23" hidden="1" outlineLevel="1" x14ac:dyDescent="0.3">
      <c r="A35" s="346"/>
      <c r="B35" s="398"/>
      <c r="C35" s="63" t="s">
        <v>23</v>
      </c>
      <c r="D35" s="25" t="s">
        <v>29</v>
      </c>
      <c r="E35" s="25" t="s">
        <v>29</v>
      </c>
      <c r="F35" s="400"/>
      <c r="G35" s="397"/>
      <c r="H35" s="357"/>
      <c r="I35" s="11">
        <v>4125</v>
      </c>
      <c r="J35" s="18" t="str">
        <f t="shared" si="9"/>
        <v/>
      </c>
      <c r="M35" s="16"/>
      <c r="P35" s="50"/>
      <c r="S35">
        <f t="shared" si="5"/>
        <v>30</v>
      </c>
      <c r="T35" t="str">
        <f t="shared" si="6"/>
        <v>lb_dd30</v>
      </c>
      <c r="U35">
        <f t="shared" si="7"/>
        <v>2029</v>
      </c>
    </row>
    <row r="36" spans="1:23" hidden="1" outlineLevel="1" x14ac:dyDescent="0.3">
      <c r="A36" s="346"/>
      <c r="B36" s="398"/>
      <c r="C36" s="63" t="s">
        <v>24</v>
      </c>
      <c r="D36" s="25" t="s">
        <v>29</v>
      </c>
      <c r="E36" s="25" t="s">
        <v>29</v>
      </c>
      <c r="F36" s="400"/>
      <c r="G36" s="397"/>
      <c r="H36" s="357"/>
      <c r="I36" s="11">
        <v>4126</v>
      </c>
      <c r="J36" s="18" t="str">
        <f t="shared" si="9"/>
        <v/>
      </c>
      <c r="M36" s="9"/>
      <c r="P36" s="50"/>
      <c r="S36">
        <f t="shared" si="5"/>
        <v>31</v>
      </c>
      <c r="T36" t="str">
        <f t="shared" si="6"/>
        <v>lb_dd31</v>
      </c>
      <c r="U36">
        <f t="shared" si="7"/>
        <v>2030</v>
      </c>
    </row>
    <row r="37" spans="1:23" hidden="1" outlineLevel="1" x14ac:dyDescent="0.3">
      <c r="A37" s="346"/>
      <c r="B37" s="398"/>
      <c r="C37" s="63" t="s">
        <v>25</v>
      </c>
      <c r="D37" s="69" t="s">
        <v>294</v>
      </c>
      <c r="E37" s="1" t="s">
        <v>208</v>
      </c>
      <c r="F37" s="401"/>
      <c r="G37" s="397"/>
      <c r="H37" s="358"/>
      <c r="I37" s="11">
        <v>4127</v>
      </c>
      <c r="J37" s="18" t="str">
        <f t="shared" si="9"/>
        <v>SPT021DC/GGIO2.Alm7</v>
      </c>
      <c r="K37" s="23" t="s">
        <v>78</v>
      </c>
      <c r="L37" s="9" t="s">
        <v>245</v>
      </c>
      <c r="M37" s="34" t="s">
        <v>49</v>
      </c>
      <c r="P37" s="50"/>
      <c r="S37">
        <f t="shared" si="5"/>
        <v>32</v>
      </c>
      <c r="T37" t="str">
        <f t="shared" si="6"/>
        <v>lb_dd32</v>
      </c>
      <c r="U37">
        <f t="shared" si="7"/>
        <v>2031</v>
      </c>
    </row>
    <row r="38" spans="1:23" collapsed="1" x14ac:dyDescent="0.3">
      <c r="A38" s="388"/>
      <c r="B38" s="389"/>
      <c r="C38" s="389"/>
      <c r="D38" s="389"/>
      <c r="E38" s="389"/>
      <c r="F38" s="389"/>
      <c r="G38" s="389"/>
      <c r="H38" s="389"/>
      <c r="I38" s="389"/>
      <c r="J38" s="390"/>
    </row>
    <row r="39" spans="1:23" x14ac:dyDescent="0.3">
      <c r="A39" s="345" t="s">
        <v>311</v>
      </c>
      <c r="B39" s="345"/>
      <c r="C39" s="345"/>
      <c r="D39" s="345"/>
      <c r="E39" s="345"/>
      <c r="F39" s="345"/>
      <c r="G39" s="345"/>
      <c r="H39" s="345"/>
      <c r="I39" s="345"/>
      <c r="J39" s="345"/>
      <c r="M39" s="9"/>
    </row>
    <row r="40" spans="1:23" hidden="1" outlineLevel="1" x14ac:dyDescent="0.3">
      <c r="A40" s="346">
        <v>15</v>
      </c>
      <c r="B40" s="398" t="s">
        <v>7</v>
      </c>
      <c r="C40" s="63" t="s">
        <v>12</v>
      </c>
      <c r="D40" s="24" t="str">
        <f>CONCATENATE("1F",P40," ",Q40)</f>
        <v>1F8 Положение</v>
      </c>
      <c r="E40" s="1" t="s">
        <v>207</v>
      </c>
      <c r="F40" s="399" t="s">
        <v>28</v>
      </c>
      <c r="G40" s="397" t="s">
        <v>329</v>
      </c>
      <c r="H40" s="356" t="s">
        <v>59</v>
      </c>
      <c r="I40" s="11">
        <v>4128</v>
      </c>
      <c r="J40" s="18" t="str">
        <f>IF(OR(D40="",D40="-"),"",CONCATENATE("SPT021",K40,"/",L40,".",M40))</f>
        <v>SPT021DC/GGIO3.Ind1</v>
      </c>
      <c r="K40" s="23" t="s">
        <v>78</v>
      </c>
      <c r="L40" s="9" t="s">
        <v>246</v>
      </c>
      <c r="M40" s="9" t="s">
        <v>36</v>
      </c>
      <c r="P40" s="48">
        <v>8</v>
      </c>
      <c r="Q40" t="s">
        <v>209</v>
      </c>
      <c r="S40">
        <f t="shared" ref="S40:S55" si="10">I40-4095</f>
        <v>33</v>
      </c>
      <c r="T40" t="str">
        <f t="shared" ref="T40:T73" si="11">_xlfn.CONCAT($T$1,S40)</f>
        <v>lb_dd33</v>
      </c>
      <c r="U40">
        <f t="shared" ref="U40:U55" si="12">S40+1999</f>
        <v>2032</v>
      </c>
      <c r="V40">
        <v>817</v>
      </c>
      <c r="W40">
        <v>1066</v>
      </c>
    </row>
    <row r="41" spans="1:23" hidden="1" outlineLevel="1" x14ac:dyDescent="0.3">
      <c r="A41" s="346"/>
      <c r="B41" s="398"/>
      <c r="C41" s="63" t="s">
        <v>8</v>
      </c>
      <c r="D41" s="24" t="str">
        <f t="shared" ref="D41:D45" si="13">CONCATENATE("1F",P41," ",Q41)</f>
        <v>1F8 Состояние</v>
      </c>
      <c r="E41" s="1" t="s">
        <v>208</v>
      </c>
      <c r="F41" s="400"/>
      <c r="G41" s="397"/>
      <c r="H41" s="357"/>
      <c r="I41" s="11">
        <v>4129</v>
      </c>
      <c r="J41" s="18" t="str">
        <f t="shared" ref="J41:J55" si="14">IF(OR(D41="",D41="-"),"",CONCATENATE("SPT021",K41,"/",L41,".",M41))</f>
        <v>SPT021DC/GGIO3.Alm1</v>
      </c>
      <c r="K41" s="23" t="s">
        <v>78</v>
      </c>
      <c r="L41" s="9" t="s">
        <v>246</v>
      </c>
      <c r="M41" s="34" t="s">
        <v>37</v>
      </c>
      <c r="P41" s="48">
        <v>8</v>
      </c>
      <c r="Q41" t="s">
        <v>210</v>
      </c>
      <c r="S41">
        <f t="shared" si="10"/>
        <v>34</v>
      </c>
      <c r="T41" t="str">
        <f t="shared" si="11"/>
        <v>lb_dd34</v>
      </c>
      <c r="U41">
        <f t="shared" si="12"/>
        <v>2033</v>
      </c>
    </row>
    <row r="42" spans="1:23" hidden="1" outlineLevel="1" x14ac:dyDescent="0.3">
      <c r="A42" s="346"/>
      <c r="B42" s="398"/>
      <c r="C42" s="63" t="s">
        <v>9</v>
      </c>
      <c r="D42" s="24" t="str">
        <f t="shared" si="13"/>
        <v>1F9 Положение</v>
      </c>
      <c r="E42" s="1" t="s">
        <v>207</v>
      </c>
      <c r="F42" s="400"/>
      <c r="G42" s="397"/>
      <c r="H42" s="357"/>
      <c r="I42" s="11">
        <v>4130</v>
      </c>
      <c r="J42" s="18" t="str">
        <f t="shared" si="14"/>
        <v>SPT021DC/GGIO3.Ind2</v>
      </c>
      <c r="K42" s="23" t="s">
        <v>78</v>
      </c>
      <c r="L42" s="9" t="s">
        <v>246</v>
      </c>
      <c r="M42" s="9" t="s">
        <v>38</v>
      </c>
      <c r="P42" s="48">
        <v>9</v>
      </c>
      <c r="Q42" t="s">
        <v>209</v>
      </c>
      <c r="S42">
        <f t="shared" si="10"/>
        <v>35</v>
      </c>
      <c r="T42" t="str">
        <f t="shared" si="11"/>
        <v>lb_dd35</v>
      </c>
      <c r="U42">
        <f t="shared" si="12"/>
        <v>2034</v>
      </c>
    </row>
    <row r="43" spans="1:23" hidden="1" outlineLevel="1" x14ac:dyDescent="0.3">
      <c r="A43" s="346"/>
      <c r="B43" s="398"/>
      <c r="C43" s="63" t="s">
        <v>13</v>
      </c>
      <c r="D43" s="24" t="str">
        <f t="shared" si="13"/>
        <v>1F9 Состояние</v>
      </c>
      <c r="E43" s="1" t="s">
        <v>208</v>
      </c>
      <c r="F43" s="400"/>
      <c r="G43" s="397"/>
      <c r="H43" s="357"/>
      <c r="I43" s="11">
        <v>4131</v>
      </c>
      <c r="J43" s="18" t="str">
        <f t="shared" si="14"/>
        <v>SPT021DC/GGIO3.Alm2</v>
      </c>
      <c r="K43" s="23" t="s">
        <v>78</v>
      </c>
      <c r="L43" s="9" t="s">
        <v>246</v>
      </c>
      <c r="M43" s="34" t="s">
        <v>39</v>
      </c>
      <c r="P43" s="48">
        <v>9</v>
      </c>
      <c r="Q43" t="s">
        <v>210</v>
      </c>
      <c r="S43">
        <f t="shared" si="10"/>
        <v>36</v>
      </c>
      <c r="T43" t="str">
        <f t="shared" si="11"/>
        <v>lb_dd36</v>
      </c>
      <c r="U43">
        <f t="shared" si="12"/>
        <v>2035</v>
      </c>
    </row>
    <row r="44" spans="1:23" hidden="1" outlineLevel="1" x14ac:dyDescent="0.3">
      <c r="A44" s="346"/>
      <c r="B44" s="398"/>
      <c r="C44" s="63" t="s">
        <v>14</v>
      </c>
      <c r="D44" s="24" t="str">
        <f t="shared" si="13"/>
        <v>1F10 Положение</v>
      </c>
      <c r="E44" s="1" t="s">
        <v>207</v>
      </c>
      <c r="F44" s="400"/>
      <c r="G44" s="397"/>
      <c r="H44" s="357"/>
      <c r="I44" s="11">
        <v>4132</v>
      </c>
      <c r="J44" s="18" t="str">
        <f t="shared" si="14"/>
        <v>SPT021DC/GGIO3.Ind3</v>
      </c>
      <c r="K44" s="23" t="s">
        <v>78</v>
      </c>
      <c r="L44" s="9" t="s">
        <v>246</v>
      </c>
      <c r="M44" s="9" t="s">
        <v>40</v>
      </c>
      <c r="P44" s="48">
        <v>10</v>
      </c>
      <c r="Q44" t="s">
        <v>209</v>
      </c>
      <c r="S44">
        <f t="shared" si="10"/>
        <v>37</v>
      </c>
      <c r="T44" t="str">
        <f t="shared" si="11"/>
        <v>lb_dd37</v>
      </c>
      <c r="U44">
        <f t="shared" si="12"/>
        <v>2036</v>
      </c>
    </row>
    <row r="45" spans="1:23" hidden="1" outlineLevel="1" x14ac:dyDescent="0.3">
      <c r="A45" s="346"/>
      <c r="B45" s="398"/>
      <c r="C45" s="63" t="s">
        <v>15</v>
      </c>
      <c r="D45" s="24" t="str">
        <f t="shared" si="13"/>
        <v>1F10 Состояние</v>
      </c>
      <c r="E45" s="1" t="s">
        <v>208</v>
      </c>
      <c r="F45" s="400"/>
      <c r="G45" s="397"/>
      <c r="H45" s="357"/>
      <c r="I45" s="11">
        <v>4133</v>
      </c>
      <c r="J45" s="18" t="str">
        <f t="shared" si="14"/>
        <v>SPT021DC/GGIO3.Alm3</v>
      </c>
      <c r="K45" s="23" t="s">
        <v>78</v>
      </c>
      <c r="L45" s="9" t="s">
        <v>246</v>
      </c>
      <c r="M45" s="34" t="s">
        <v>41</v>
      </c>
      <c r="P45" s="48">
        <v>10</v>
      </c>
      <c r="Q45" t="s">
        <v>210</v>
      </c>
      <c r="S45">
        <f t="shared" si="10"/>
        <v>38</v>
      </c>
      <c r="T45" t="str">
        <f t="shared" si="11"/>
        <v>lb_dd38</v>
      </c>
      <c r="U45">
        <f t="shared" si="12"/>
        <v>2037</v>
      </c>
    </row>
    <row r="46" spans="1:23" hidden="1" outlineLevel="1" x14ac:dyDescent="0.3">
      <c r="A46" s="346"/>
      <c r="B46" s="398"/>
      <c r="C46" s="63" t="s">
        <v>16</v>
      </c>
      <c r="D46" s="25" t="s">
        <v>29</v>
      </c>
      <c r="E46" s="25" t="s">
        <v>29</v>
      </c>
      <c r="F46" s="400"/>
      <c r="G46" s="397"/>
      <c r="H46" s="357"/>
      <c r="I46" s="11">
        <v>4134</v>
      </c>
      <c r="J46" s="18" t="str">
        <f t="shared" si="14"/>
        <v/>
      </c>
      <c r="M46" s="9"/>
      <c r="S46">
        <f t="shared" si="10"/>
        <v>39</v>
      </c>
      <c r="T46" t="str">
        <f t="shared" si="11"/>
        <v>lb_dd39</v>
      </c>
      <c r="U46">
        <f t="shared" si="12"/>
        <v>2038</v>
      </c>
    </row>
    <row r="47" spans="1:23" hidden="1" outlineLevel="1" x14ac:dyDescent="0.3">
      <c r="A47" s="346"/>
      <c r="B47" s="398"/>
      <c r="C47" s="63" t="s">
        <v>17</v>
      </c>
      <c r="D47" s="24" t="s">
        <v>295</v>
      </c>
      <c r="E47" s="1" t="s">
        <v>208</v>
      </c>
      <c r="F47" s="400"/>
      <c r="G47" s="397"/>
      <c r="H47" s="357"/>
      <c r="I47" s="11">
        <v>4135</v>
      </c>
      <c r="J47" s="18" t="str">
        <f t="shared" si="14"/>
        <v>SPT021DC/GGIO3.Alm4</v>
      </c>
      <c r="K47" s="23" t="s">
        <v>78</v>
      </c>
      <c r="L47" s="9" t="s">
        <v>246</v>
      </c>
      <c r="M47" s="34" t="s">
        <v>43</v>
      </c>
      <c r="S47">
        <f t="shared" si="10"/>
        <v>40</v>
      </c>
      <c r="T47" t="str">
        <f t="shared" si="11"/>
        <v>lb_dd40</v>
      </c>
      <c r="U47">
        <f t="shared" si="12"/>
        <v>2039</v>
      </c>
    </row>
    <row r="48" spans="1:23" hidden="1" outlineLevel="1" x14ac:dyDescent="0.3">
      <c r="A48" s="346"/>
      <c r="B48" s="398"/>
      <c r="C48" s="63" t="s">
        <v>18</v>
      </c>
      <c r="D48" s="24" t="str">
        <f>CONCATENATE("2F",P48," ",Q48)</f>
        <v>2F8 Положение</v>
      </c>
      <c r="E48" s="1" t="s">
        <v>207</v>
      </c>
      <c r="F48" s="400"/>
      <c r="G48" s="397"/>
      <c r="H48" s="357"/>
      <c r="I48" s="11">
        <v>4136</v>
      </c>
      <c r="J48" s="18" t="str">
        <f t="shared" si="14"/>
        <v>SPT021DC/GGIO3.Ind4</v>
      </c>
      <c r="K48" s="23" t="s">
        <v>78</v>
      </c>
      <c r="L48" s="9" t="s">
        <v>246</v>
      </c>
      <c r="M48" s="9" t="s">
        <v>42</v>
      </c>
      <c r="P48" s="48">
        <v>8</v>
      </c>
      <c r="Q48" t="s">
        <v>209</v>
      </c>
      <c r="S48">
        <f t="shared" si="10"/>
        <v>41</v>
      </c>
      <c r="T48" t="str">
        <f t="shared" si="11"/>
        <v>lb_dd41</v>
      </c>
      <c r="U48">
        <f t="shared" si="12"/>
        <v>2040</v>
      </c>
    </row>
    <row r="49" spans="1:23" hidden="1" outlineLevel="1" x14ac:dyDescent="0.3">
      <c r="A49" s="346"/>
      <c r="B49" s="398"/>
      <c r="C49" s="63" t="s">
        <v>19</v>
      </c>
      <c r="D49" s="24" t="str">
        <f t="shared" ref="D49:D53" si="15">CONCATENATE("2F",P49," ",Q49)</f>
        <v>2F8 Состояние</v>
      </c>
      <c r="E49" s="1" t="s">
        <v>208</v>
      </c>
      <c r="F49" s="400"/>
      <c r="G49" s="397"/>
      <c r="H49" s="357"/>
      <c r="I49" s="11">
        <v>4137</v>
      </c>
      <c r="J49" s="18" t="str">
        <f t="shared" si="14"/>
        <v>SPT021DC/GGIO3.Alm5</v>
      </c>
      <c r="K49" s="23" t="s">
        <v>78</v>
      </c>
      <c r="L49" s="9" t="s">
        <v>246</v>
      </c>
      <c r="M49" s="34" t="s">
        <v>45</v>
      </c>
      <c r="P49" s="48">
        <v>8</v>
      </c>
      <c r="Q49" t="s">
        <v>210</v>
      </c>
      <c r="S49">
        <f t="shared" si="10"/>
        <v>42</v>
      </c>
      <c r="T49" t="str">
        <f t="shared" si="11"/>
        <v>lb_dd42</v>
      </c>
      <c r="U49">
        <f t="shared" si="12"/>
        <v>2041</v>
      </c>
    </row>
    <row r="50" spans="1:23" hidden="1" outlineLevel="1" x14ac:dyDescent="0.3">
      <c r="A50" s="346"/>
      <c r="B50" s="398"/>
      <c r="C50" s="63" t="s">
        <v>20</v>
      </c>
      <c r="D50" s="24" t="str">
        <f t="shared" si="15"/>
        <v>2F9 Положение</v>
      </c>
      <c r="E50" s="1" t="s">
        <v>207</v>
      </c>
      <c r="F50" s="400"/>
      <c r="G50" s="397"/>
      <c r="H50" s="357"/>
      <c r="I50" s="11">
        <v>4138</v>
      </c>
      <c r="J50" s="18" t="str">
        <f t="shared" si="14"/>
        <v>SPT021DC/GGIO3.Ind5</v>
      </c>
      <c r="K50" s="23" t="s">
        <v>78</v>
      </c>
      <c r="L50" s="9" t="s">
        <v>246</v>
      </c>
      <c r="M50" s="9" t="s">
        <v>44</v>
      </c>
      <c r="P50" s="48">
        <v>9</v>
      </c>
      <c r="Q50" t="s">
        <v>209</v>
      </c>
      <c r="S50">
        <f t="shared" si="10"/>
        <v>43</v>
      </c>
      <c r="T50" t="str">
        <f t="shared" si="11"/>
        <v>lb_dd43</v>
      </c>
      <c r="U50">
        <f t="shared" si="12"/>
        <v>2042</v>
      </c>
    </row>
    <row r="51" spans="1:23" hidden="1" outlineLevel="1" x14ac:dyDescent="0.3">
      <c r="A51" s="346"/>
      <c r="B51" s="398"/>
      <c r="C51" s="63" t="s">
        <v>21</v>
      </c>
      <c r="D51" s="24" t="str">
        <f t="shared" si="15"/>
        <v>2F9 Состояние</v>
      </c>
      <c r="E51" s="1" t="s">
        <v>208</v>
      </c>
      <c r="F51" s="400"/>
      <c r="G51" s="397"/>
      <c r="H51" s="357"/>
      <c r="I51" s="11">
        <v>4139</v>
      </c>
      <c r="J51" s="18" t="str">
        <f t="shared" si="14"/>
        <v>SPT021DC/GGIO3.Alm6</v>
      </c>
      <c r="K51" s="23" t="s">
        <v>78</v>
      </c>
      <c r="L51" s="9" t="s">
        <v>246</v>
      </c>
      <c r="M51" s="34" t="s">
        <v>47</v>
      </c>
      <c r="P51" s="48">
        <v>9</v>
      </c>
      <c r="Q51" t="s">
        <v>210</v>
      </c>
      <c r="S51">
        <f t="shared" si="10"/>
        <v>44</v>
      </c>
      <c r="T51" t="str">
        <f t="shared" si="11"/>
        <v>lb_dd44</v>
      </c>
      <c r="U51">
        <f t="shared" si="12"/>
        <v>2043</v>
      </c>
    </row>
    <row r="52" spans="1:23" hidden="1" outlineLevel="1" x14ac:dyDescent="0.3">
      <c r="A52" s="346"/>
      <c r="B52" s="398"/>
      <c r="C52" s="63" t="s">
        <v>22</v>
      </c>
      <c r="D52" s="24" t="str">
        <f t="shared" si="15"/>
        <v>2F10 Положение</v>
      </c>
      <c r="E52" s="1" t="s">
        <v>207</v>
      </c>
      <c r="F52" s="400"/>
      <c r="G52" s="397"/>
      <c r="H52" s="357"/>
      <c r="I52" s="11">
        <v>4140</v>
      </c>
      <c r="J52" s="18" t="str">
        <f t="shared" si="14"/>
        <v>SPT021DC/GGIO3.Ind6</v>
      </c>
      <c r="K52" s="23" t="s">
        <v>78</v>
      </c>
      <c r="L52" s="9" t="s">
        <v>246</v>
      </c>
      <c r="M52" s="9" t="s">
        <v>46</v>
      </c>
      <c r="P52" s="48">
        <v>10</v>
      </c>
      <c r="Q52" t="s">
        <v>209</v>
      </c>
      <c r="S52">
        <f t="shared" si="10"/>
        <v>45</v>
      </c>
      <c r="T52" t="str">
        <f t="shared" si="11"/>
        <v>lb_dd45</v>
      </c>
      <c r="U52">
        <f t="shared" si="12"/>
        <v>2044</v>
      </c>
    </row>
    <row r="53" spans="1:23" hidden="1" outlineLevel="1" x14ac:dyDescent="0.3">
      <c r="A53" s="346"/>
      <c r="B53" s="398"/>
      <c r="C53" s="63" t="s">
        <v>23</v>
      </c>
      <c r="D53" s="24" t="str">
        <f t="shared" si="15"/>
        <v>2F10 Состояние</v>
      </c>
      <c r="E53" s="1" t="s">
        <v>208</v>
      </c>
      <c r="F53" s="400"/>
      <c r="G53" s="397"/>
      <c r="H53" s="357"/>
      <c r="I53" s="11">
        <v>4141</v>
      </c>
      <c r="J53" s="18" t="str">
        <f t="shared" si="14"/>
        <v>SPT021DC/GGIO3.Alm7</v>
      </c>
      <c r="K53" s="23" t="s">
        <v>78</v>
      </c>
      <c r="L53" s="9" t="s">
        <v>246</v>
      </c>
      <c r="M53" s="34" t="s">
        <v>49</v>
      </c>
      <c r="P53" s="48">
        <v>10</v>
      </c>
      <c r="Q53" t="s">
        <v>210</v>
      </c>
      <c r="S53">
        <f t="shared" si="10"/>
        <v>46</v>
      </c>
      <c r="T53" t="str">
        <f t="shared" si="11"/>
        <v>lb_dd46</v>
      </c>
      <c r="U53">
        <f t="shared" si="12"/>
        <v>2045</v>
      </c>
    </row>
    <row r="54" spans="1:23" hidden="1" outlineLevel="1" x14ac:dyDescent="0.3">
      <c r="A54" s="346"/>
      <c r="B54" s="398"/>
      <c r="C54" s="63" t="s">
        <v>24</v>
      </c>
      <c r="D54" s="25" t="s">
        <v>29</v>
      </c>
      <c r="E54" s="25" t="s">
        <v>29</v>
      </c>
      <c r="F54" s="400"/>
      <c r="G54" s="397"/>
      <c r="H54" s="357"/>
      <c r="I54" s="11">
        <v>4142</v>
      </c>
      <c r="J54" s="18" t="str">
        <f t="shared" si="14"/>
        <v/>
      </c>
      <c r="M54" s="9"/>
      <c r="S54">
        <f t="shared" si="10"/>
        <v>47</v>
      </c>
      <c r="T54" t="str">
        <f t="shared" si="11"/>
        <v>lb_dd47</v>
      </c>
      <c r="U54">
        <f t="shared" si="12"/>
        <v>2046</v>
      </c>
    </row>
    <row r="55" spans="1:23" ht="15.75" hidden="1" customHeight="1" outlineLevel="1" x14ac:dyDescent="0.3">
      <c r="A55" s="346"/>
      <c r="B55" s="398"/>
      <c r="C55" s="63" t="s">
        <v>25</v>
      </c>
      <c r="D55" s="24" t="s">
        <v>296</v>
      </c>
      <c r="E55" s="1" t="s">
        <v>208</v>
      </c>
      <c r="F55" s="401"/>
      <c r="G55" s="397"/>
      <c r="H55" s="358"/>
      <c r="I55" s="11">
        <v>4143</v>
      </c>
      <c r="J55" s="18" t="str">
        <f t="shared" si="14"/>
        <v>SPT021DC/GGIO3.Alm8</v>
      </c>
      <c r="K55" s="23" t="s">
        <v>78</v>
      </c>
      <c r="L55" s="9" t="s">
        <v>246</v>
      </c>
      <c r="M55" s="34" t="s">
        <v>56</v>
      </c>
      <c r="S55">
        <f t="shared" si="10"/>
        <v>48</v>
      </c>
      <c r="T55" t="str">
        <f t="shared" si="11"/>
        <v>lb_dd48</v>
      </c>
      <c r="U55">
        <f t="shared" si="12"/>
        <v>2047</v>
      </c>
    </row>
    <row r="56" spans="1:23" collapsed="1" x14ac:dyDescent="0.3">
      <c r="A56" s="402"/>
      <c r="B56" s="402"/>
      <c r="C56" s="402"/>
      <c r="D56" s="402"/>
      <c r="E56" s="402"/>
      <c r="F56" s="402"/>
      <c r="G56" s="402"/>
      <c r="H56" s="402"/>
      <c r="I56" s="402"/>
      <c r="J56" s="402"/>
    </row>
    <row r="57" spans="1:23" x14ac:dyDescent="0.3">
      <c r="A57" s="345" t="s">
        <v>287</v>
      </c>
      <c r="B57" s="345"/>
      <c r="C57" s="345"/>
      <c r="D57" s="345"/>
      <c r="E57" s="345"/>
      <c r="F57" s="345"/>
      <c r="G57" s="345"/>
      <c r="H57" s="345"/>
      <c r="I57" s="345"/>
      <c r="J57" s="345"/>
    </row>
    <row r="58" spans="1:23" hidden="1" outlineLevel="1" x14ac:dyDescent="0.3">
      <c r="A58" s="346">
        <v>22</v>
      </c>
      <c r="B58" s="398" t="s">
        <v>7</v>
      </c>
      <c r="C58" s="63" t="s">
        <v>12</v>
      </c>
      <c r="D58" s="24" t="str">
        <f>CONCATENATE("QF",P58," ",Q58)</f>
        <v>QF1 Положение</v>
      </c>
      <c r="E58" s="1" t="s">
        <v>207</v>
      </c>
      <c r="F58" s="399" t="s">
        <v>28</v>
      </c>
      <c r="G58" s="397" t="s">
        <v>330</v>
      </c>
      <c r="H58" s="356" t="s">
        <v>59</v>
      </c>
      <c r="I58" s="11">
        <v>4144</v>
      </c>
      <c r="J58" s="18" t="str">
        <f>IF(OR(D58="",D58="-"),"",CONCATENATE("SPT021",K58,"/",L58,".",M58))</f>
        <v>SPT021DC/GGIO4.Ind1</v>
      </c>
      <c r="K58" s="23" t="s">
        <v>78</v>
      </c>
      <c r="L58" s="9" t="s">
        <v>247</v>
      </c>
      <c r="M58" s="9" t="s">
        <v>36</v>
      </c>
      <c r="P58" s="48">
        <v>1</v>
      </c>
      <c r="Q58" t="s">
        <v>209</v>
      </c>
      <c r="S58">
        <f t="shared" ref="S58:S73" si="16">I58-4095</f>
        <v>49</v>
      </c>
      <c r="T58" t="str">
        <f t="shared" si="11"/>
        <v>lb_dd49</v>
      </c>
      <c r="U58">
        <f t="shared" ref="U58:U73" si="17">S58+1999</f>
        <v>2048</v>
      </c>
      <c r="V58">
        <v>825</v>
      </c>
      <c r="W58">
        <v>1074</v>
      </c>
    </row>
    <row r="59" spans="1:23" hidden="1" outlineLevel="1" x14ac:dyDescent="0.3">
      <c r="A59" s="346"/>
      <c r="B59" s="398"/>
      <c r="C59" s="63" t="s">
        <v>8</v>
      </c>
      <c r="D59" s="24" t="str">
        <f t="shared" ref="D59:D69" si="18">CONCATENATE("QF",P59," ",Q59)</f>
        <v>QF1 Состояние</v>
      </c>
      <c r="E59" s="1" t="s">
        <v>208</v>
      </c>
      <c r="F59" s="400"/>
      <c r="G59" s="397"/>
      <c r="H59" s="357"/>
      <c r="I59" s="11">
        <v>4145</v>
      </c>
      <c r="J59" s="18" t="str">
        <f t="shared" ref="J59:J73" si="19">IF(OR(D59="",D59="-"),"",CONCATENATE("SPT021",K59,"/",L59,".",M59))</f>
        <v>SPT021DC/GGIO4.Alm1</v>
      </c>
      <c r="K59" s="23" t="s">
        <v>78</v>
      </c>
      <c r="L59" s="9" t="s">
        <v>247</v>
      </c>
      <c r="M59" s="34" t="s">
        <v>37</v>
      </c>
      <c r="P59" s="48">
        <v>1</v>
      </c>
      <c r="Q59" t="s">
        <v>210</v>
      </c>
      <c r="S59">
        <f t="shared" si="16"/>
        <v>50</v>
      </c>
      <c r="T59" t="str">
        <f t="shared" si="11"/>
        <v>lb_dd50</v>
      </c>
      <c r="U59">
        <f t="shared" si="17"/>
        <v>2049</v>
      </c>
    </row>
    <row r="60" spans="1:23" hidden="1" outlineLevel="1" x14ac:dyDescent="0.3">
      <c r="A60" s="346"/>
      <c r="B60" s="398"/>
      <c r="C60" s="63" t="s">
        <v>9</v>
      </c>
      <c r="D60" s="24" t="str">
        <f t="shared" si="18"/>
        <v>QF2 Положение</v>
      </c>
      <c r="E60" s="1" t="s">
        <v>207</v>
      </c>
      <c r="F60" s="400"/>
      <c r="G60" s="397"/>
      <c r="H60" s="357"/>
      <c r="I60" s="11">
        <v>4146</v>
      </c>
      <c r="J60" s="18" t="str">
        <f t="shared" si="19"/>
        <v>SPT021DC/GGIO4.Ind2</v>
      </c>
      <c r="K60" s="23" t="s">
        <v>78</v>
      </c>
      <c r="L60" s="9" t="s">
        <v>247</v>
      </c>
      <c r="M60" s="9" t="s">
        <v>38</v>
      </c>
      <c r="P60" s="48">
        <v>2</v>
      </c>
      <c r="Q60" t="s">
        <v>209</v>
      </c>
      <c r="S60">
        <f t="shared" si="16"/>
        <v>51</v>
      </c>
      <c r="T60" t="str">
        <f t="shared" si="11"/>
        <v>lb_dd51</v>
      </c>
      <c r="U60">
        <f t="shared" si="17"/>
        <v>2050</v>
      </c>
    </row>
    <row r="61" spans="1:23" hidden="1" outlineLevel="1" x14ac:dyDescent="0.3">
      <c r="A61" s="346"/>
      <c r="B61" s="398"/>
      <c r="C61" s="63" t="s">
        <v>13</v>
      </c>
      <c r="D61" s="24" t="str">
        <f t="shared" si="18"/>
        <v>QF2 Состояние</v>
      </c>
      <c r="E61" s="1" t="s">
        <v>208</v>
      </c>
      <c r="F61" s="400"/>
      <c r="G61" s="397"/>
      <c r="H61" s="357"/>
      <c r="I61" s="11">
        <v>4147</v>
      </c>
      <c r="J61" s="18" t="str">
        <f t="shared" si="19"/>
        <v>SPT021DC/GGIO4.Alm2</v>
      </c>
      <c r="K61" s="23" t="s">
        <v>78</v>
      </c>
      <c r="L61" s="9" t="s">
        <v>247</v>
      </c>
      <c r="M61" s="34" t="s">
        <v>39</v>
      </c>
      <c r="P61" s="48">
        <v>2</v>
      </c>
      <c r="Q61" t="s">
        <v>210</v>
      </c>
      <c r="S61">
        <f t="shared" si="16"/>
        <v>52</v>
      </c>
      <c r="T61" t="str">
        <f t="shared" si="11"/>
        <v>lb_dd52</v>
      </c>
      <c r="U61">
        <f t="shared" si="17"/>
        <v>2051</v>
      </c>
    </row>
    <row r="62" spans="1:23" hidden="1" outlineLevel="1" x14ac:dyDescent="0.3">
      <c r="A62" s="346"/>
      <c r="B62" s="398"/>
      <c r="C62" s="63" t="s">
        <v>14</v>
      </c>
      <c r="D62" s="24" t="str">
        <f t="shared" si="18"/>
        <v>QF3 Положение</v>
      </c>
      <c r="E62" s="1" t="s">
        <v>207</v>
      </c>
      <c r="F62" s="400"/>
      <c r="G62" s="397"/>
      <c r="H62" s="357"/>
      <c r="I62" s="11">
        <v>4148</v>
      </c>
      <c r="J62" s="18" t="str">
        <f t="shared" si="19"/>
        <v>SPT021DC/GGIO4.Ind3</v>
      </c>
      <c r="K62" s="23" t="s">
        <v>78</v>
      </c>
      <c r="L62" s="9" t="s">
        <v>247</v>
      </c>
      <c r="M62" s="9" t="s">
        <v>40</v>
      </c>
      <c r="P62" s="48">
        <v>3</v>
      </c>
      <c r="Q62" t="s">
        <v>209</v>
      </c>
      <c r="S62">
        <f t="shared" si="16"/>
        <v>53</v>
      </c>
      <c r="T62" t="str">
        <f t="shared" si="11"/>
        <v>lb_dd53</v>
      </c>
      <c r="U62">
        <f t="shared" si="17"/>
        <v>2052</v>
      </c>
    </row>
    <row r="63" spans="1:23" hidden="1" outlineLevel="1" x14ac:dyDescent="0.3">
      <c r="A63" s="346"/>
      <c r="B63" s="398"/>
      <c r="C63" s="63" t="s">
        <v>15</v>
      </c>
      <c r="D63" s="24" t="str">
        <f t="shared" si="18"/>
        <v>QF3 Состояние</v>
      </c>
      <c r="E63" s="1" t="s">
        <v>208</v>
      </c>
      <c r="F63" s="400"/>
      <c r="G63" s="397"/>
      <c r="H63" s="357"/>
      <c r="I63" s="11">
        <v>4149</v>
      </c>
      <c r="J63" s="18" t="str">
        <f t="shared" si="19"/>
        <v>SPT021DC/GGIO4.Alm3</v>
      </c>
      <c r="K63" s="23" t="s">
        <v>78</v>
      </c>
      <c r="L63" s="9" t="s">
        <v>247</v>
      </c>
      <c r="M63" s="34" t="s">
        <v>41</v>
      </c>
      <c r="P63" s="48">
        <v>3</v>
      </c>
      <c r="Q63" t="s">
        <v>210</v>
      </c>
      <c r="S63">
        <f t="shared" si="16"/>
        <v>54</v>
      </c>
      <c r="T63" t="str">
        <f t="shared" si="11"/>
        <v>lb_dd54</v>
      </c>
      <c r="U63">
        <f t="shared" si="17"/>
        <v>2053</v>
      </c>
    </row>
    <row r="64" spans="1:23" hidden="1" outlineLevel="1" x14ac:dyDescent="0.3">
      <c r="A64" s="346"/>
      <c r="B64" s="398"/>
      <c r="C64" s="63" t="s">
        <v>16</v>
      </c>
      <c r="D64" s="24" t="str">
        <f t="shared" si="18"/>
        <v>QF4 Положение</v>
      </c>
      <c r="E64" s="1" t="s">
        <v>207</v>
      </c>
      <c r="F64" s="400"/>
      <c r="G64" s="397"/>
      <c r="H64" s="357"/>
      <c r="I64" s="11">
        <v>4150</v>
      </c>
      <c r="J64" s="18" t="str">
        <f t="shared" si="19"/>
        <v>SPT021DC/GGIO4.Ind4</v>
      </c>
      <c r="K64" s="23" t="s">
        <v>78</v>
      </c>
      <c r="L64" s="9" t="s">
        <v>247</v>
      </c>
      <c r="M64" s="9" t="s">
        <v>42</v>
      </c>
      <c r="P64" s="48">
        <v>4</v>
      </c>
      <c r="Q64" t="s">
        <v>209</v>
      </c>
      <c r="S64">
        <f t="shared" si="16"/>
        <v>55</v>
      </c>
      <c r="T64" t="str">
        <f t="shared" si="11"/>
        <v>lb_dd55</v>
      </c>
      <c r="U64">
        <f t="shared" si="17"/>
        <v>2054</v>
      </c>
    </row>
    <row r="65" spans="1:23" hidden="1" outlineLevel="1" x14ac:dyDescent="0.3">
      <c r="A65" s="346"/>
      <c r="B65" s="398"/>
      <c r="C65" s="63" t="s">
        <v>17</v>
      </c>
      <c r="D65" s="24" t="str">
        <f t="shared" si="18"/>
        <v>QF4 Состояние</v>
      </c>
      <c r="E65" s="1" t="s">
        <v>208</v>
      </c>
      <c r="F65" s="400"/>
      <c r="G65" s="397"/>
      <c r="H65" s="357"/>
      <c r="I65" s="11">
        <v>4151</v>
      </c>
      <c r="J65" s="18" t="str">
        <f t="shared" si="19"/>
        <v>SPT021DC/GGIO4.Alm4</v>
      </c>
      <c r="K65" s="23" t="s">
        <v>78</v>
      </c>
      <c r="L65" s="9" t="s">
        <v>247</v>
      </c>
      <c r="M65" s="34" t="s">
        <v>43</v>
      </c>
      <c r="P65" s="48">
        <v>4</v>
      </c>
      <c r="Q65" t="s">
        <v>210</v>
      </c>
      <c r="S65">
        <f t="shared" si="16"/>
        <v>56</v>
      </c>
      <c r="T65" t="str">
        <f t="shared" si="11"/>
        <v>lb_dd56</v>
      </c>
      <c r="U65">
        <f t="shared" si="17"/>
        <v>2055</v>
      </c>
    </row>
    <row r="66" spans="1:23" hidden="1" outlineLevel="1" x14ac:dyDescent="0.3">
      <c r="A66" s="346"/>
      <c r="B66" s="398"/>
      <c r="C66" s="63" t="s">
        <v>18</v>
      </c>
      <c r="D66" s="24" t="str">
        <f t="shared" si="18"/>
        <v>QF5 Положение</v>
      </c>
      <c r="E66" s="1" t="s">
        <v>207</v>
      </c>
      <c r="F66" s="400"/>
      <c r="G66" s="397"/>
      <c r="H66" s="357"/>
      <c r="I66" s="11">
        <v>4152</v>
      </c>
      <c r="J66" s="18" t="str">
        <f t="shared" si="19"/>
        <v>SPT021DC/GGIO4.Ind5</v>
      </c>
      <c r="K66" s="23" t="s">
        <v>78</v>
      </c>
      <c r="L66" s="9" t="s">
        <v>247</v>
      </c>
      <c r="M66" s="9" t="s">
        <v>44</v>
      </c>
      <c r="P66" s="48">
        <v>5</v>
      </c>
      <c r="Q66" t="s">
        <v>209</v>
      </c>
      <c r="S66">
        <f t="shared" si="16"/>
        <v>57</v>
      </c>
      <c r="T66" t="str">
        <f t="shared" si="11"/>
        <v>lb_dd57</v>
      </c>
      <c r="U66">
        <f t="shared" si="17"/>
        <v>2056</v>
      </c>
    </row>
    <row r="67" spans="1:23" hidden="1" outlineLevel="1" x14ac:dyDescent="0.3">
      <c r="A67" s="346"/>
      <c r="B67" s="398"/>
      <c r="C67" s="63" t="s">
        <v>19</v>
      </c>
      <c r="D67" s="24" t="str">
        <f t="shared" si="18"/>
        <v>QF5 Состояние</v>
      </c>
      <c r="E67" s="1" t="s">
        <v>208</v>
      </c>
      <c r="F67" s="400"/>
      <c r="G67" s="397"/>
      <c r="H67" s="357"/>
      <c r="I67" s="11">
        <v>4153</v>
      </c>
      <c r="J67" s="18" t="str">
        <f t="shared" si="19"/>
        <v>SPT021DC/GGIO4.Alm5</v>
      </c>
      <c r="K67" s="23" t="s">
        <v>78</v>
      </c>
      <c r="L67" s="9" t="s">
        <v>247</v>
      </c>
      <c r="M67" s="34" t="s">
        <v>45</v>
      </c>
      <c r="P67" s="48">
        <v>5</v>
      </c>
      <c r="Q67" t="s">
        <v>210</v>
      </c>
      <c r="S67">
        <f t="shared" si="16"/>
        <v>58</v>
      </c>
      <c r="T67" t="str">
        <f t="shared" si="11"/>
        <v>lb_dd58</v>
      </c>
      <c r="U67">
        <f t="shared" si="17"/>
        <v>2057</v>
      </c>
    </row>
    <row r="68" spans="1:23" hidden="1" outlineLevel="1" x14ac:dyDescent="0.3">
      <c r="A68" s="346"/>
      <c r="B68" s="398"/>
      <c r="C68" s="63" t="s">
        <v>20</v>
      </c>
      <c r="D68" s="24" t="str">
        <f t="shared" si="18"/>
        <v>QF6 Положение</v>
      </c>
      <c r="E68" s="1" t="s">
        <v>207</v>
      </c>
      <c r="F68" s="400"/>
      <c r="G68" s="397"/>
      <c r="H68" s="357"/>
      <c r="I68" s="11">
        <v>4154</v>
      </c>
      <c r="J68" s="18" t="str">
        <f t="shared" si="19"/>
        <v>SPT021DC/GGIO4.Ind6</v>
      </c>
      <c r="K68" s="23" t="s">
        <v>78</v>
      </c>
      <c r="L68" s="9" t="s">
        <v>247</v>
      </c>
      <c r="M68" s="9" t="s">
        <v>46</v>
      </c>
      <c r="P68" s="48">
        <v>6</v>
      </c>
      <c r="Q68" t="s">
        <v>209</v>
      </c>
      <c r="S68">
        <f t="shared" si="16"/>
        <v>59</v>
      </c>
      <c r="T68" t="str">
        <f t="shared" si="11"/>
        <v>lb_dd59</v>
      </c>
      <c r="U68">
        <f t="shared" si="17"/>
        <v>2058</v>
      </c>
    </row>
    <row r="69" spans="1:23" hidden="1" outlineLevel="1" x14ac:dyDescent="0.3">
      <c r="A69" s="346"/>
      <c r="B69" s="398"/>
      <c r="C69" s="63" t="s">
        <v>21</v>
      </c>
      <c r="D69" s="24" t="str">
        <f t="shared" si="18"/>
        <v>QF6 Состояние</v>
      </c>
      <c r="E69" s="1" t="s">
        <v>208</v>
      </c>
      <c r="F69" s="400"/>
      <c r="G69" s="397"/>
      <c r="H69" s="357"/>
      <c r="I69" s="11">
        <v>4155</v>
      </c>
      <c r="J69" s="18" t="str">
        <f t="shared" si="19"/>
        <v>SPT021DC/GGIO4.Alm6</v>
      </c>
      <c r="K69" s="23" t="s">
        <v>78</v>
      </c>
      <c r="L69" s="9" t="s">
        <v>247</v>
      </c>
      <c r="M69" s="34" t="s">
        <v>47</v>
      </c>
      <c r="P69" s="48">
        <v>6</v>
      </c>
      <c r="Q69" t="s">
        <v>210</v>
      </c>
      <c r="S69">
        <f t="shared" si="16"/>
        <v>60</v>
      </c>
      <c r="T69" t="str">
        <f t="shared" si="11"/>
        <v>lb_dd60</v>
      </c>
      <c r="U69">
        <f t="shared" si="17"/>
        <v>2059</v>
      </c>
    </row>
    <row r="70" spans="1:23" hidden="1" outlineLevel="1" x14ac:dyDescent="0.3">
      <c r="A70" s="346"/>
      <c r="B70" s="398"/>
      <c r="C70" s="63" t="s">
        <v>22</v>
      </c>
      <c r="D70" s="24" t="str">
        <f>CONCATENATE("QS",P70," ",Q70)</f>
        <v>QS1 Положение</v>
      </c>
      <c r="E70" s="1" t="s">
        <v>207</v>
      </c>
      <c r="F70" s="400"/>
      <c r="G70" s="397"/>
      <c r="H70" s="357"/>
      <c r="I70" s="11">
        <v>4156</v>
      </c>
      <c r="J70" s="18" t="str">
        <f t="shared" si="19"/>
        <v>SPT021DC/GGIO4.Ind7</v>
      </c>
      <c r="K70" s="23" t="s">
        <v>78</v>
      </c>
      <c r="L70" s="9" t="s">
        <v>247</v>
      </c>
      <c r="M70" s="9" t="s">
        <v>48</v>
      </c>
      <c r="P70" s="48">
        <v>1</v>
      </c>
      <c r="Q70" t="s">
        <v>209</v>
      </c>
      <c r="S70">
        <f t="shared" si="16"/>
        <v>61</v>
      </c>
      <c r="T70" t="str">
        <f t="shared" si="11"/>
        <v>lb_dd61</v>
      </c>
      <c r="U70">
        <f t="shared" si="17"/>
        <v>2060</v>
      </c>
    </row>
    <row r="71" spans="1:23" hidden="1" outlineLevel="1" x14ac:dyDescent="0.3">
      <c r="A71" s="346"/>
      <c r="B71" s="398"/>
      <c r="C71" s="63" t="s">
        <v>23</v>
      </c>
      <c r="D71" s="25" t="s">
        <v>29</v>
      </c>
      <c r="E71" s="25" t="s">
        <v>29</v>
      </c>
      <c r="F71" s="400"/>
      <c r="G71" s="397"/>
      <c r="H71" s="357"/>
      <c r="I71" s="11">
        <v>4157</v>
      </c>
      <c r="J71" s="18" t="str">
        <f t="shared" si="19"/>
        <v/>
      </c>
      <c r="K71" s="23" t="s">
        <v>78</v>
      </c>
      <c r="M71" s="16"/>
      <c r="S71">
        <f t="shared" si="16"/>
        <v>62</v>
      </c>
      <c r="T71" t="str">
        <f t="shared" si="11"/>
        <v>lb_dd62</v>
      </c>
      <c r="U71">
        <f t="shared" si="17"/>
        <v>2061</v>
      </c>
    </row>
    <row r="72" spans="1:23" hidden="1" outlineLevel="1" x14ac:dyDescent="0.3">
      <c r="A72" s="346"/>
      <c r="B72" s="398"/>
      <c r="C72" s="63" t="s">
        <v>24</v>
      </c>
      <c r="D72" s="24" t="str">
        <f>CONCATENATE("QS",P72," ",Q72)</f>
        <v>QS4 Положение</v>
      </c>
      <c r="E72" s="1" t="s">
        <v>207</v>
      </c>
      <c r="F72" s="400"/>
      <c r="G72" s="397"/>
      <c r="H72" s="357"/>
      <c r="I72" s="11">
        <v>4158</v>
      </c>
      <c r="J72" s="18" t="str">
        <f t="shared" si="19"/>
        <v>SPT021DC/GGIO4.Ind8</v>
      </c>
      <c r="K72" s="23" t="s">
        <v>78</v>
      </c>
      <c r="L72" s="9" t="s">
        <v>247</v>
      </c>
      <c r="M72" s="9" t="s">
        <v>55</v>
      </c>
      <c r="P72" s="48">
        <v>4</v>
      </c>
      <c r="Q72" t="s">
        <v>209</v>
      </c>
      <c r="S72">
        <f t="shared" si="16"/>
        <v>63</v>
      </c>
      <c r="T72" t="str">
        <f t="shared" si="11"/>
        <v>lb_dd63</v>
      </c>
      <c r="U72">
        <f t="shared" si="17"/>
        <v>2062</v>
      </c>
    </row>
    <row r="73" spans="1:23" hidden="1" outlineLevel="1" x14ac:dyDescent="0.3">
      <c r="A73" s="346"/>
      <c r="B73" s="398"/>
      <c r="C73" s="63" t="s">
        <v>25</v>
      </c>
      <c r="D73" s="25" t="s">
        <v>29</v>
      </c>
      <c r="E73" s="25" t="s">
        <v>29</v>
      </c>
      <c r="F73" s="401"/>
      <c r="G73" s="397"/>
      <c r="H73" s="358"/>
      <c r="I73" s="11">
        <v>4159</v>
      </c>
      <c r="J73" s="18" t="str">
        <f t="shared" si="19"/>
        <v/>
      </c>
      <c r="K73" s="23" t="s">
        <v>78</v>
      </c>
      <c r="M73" s="16"/>
      <c r="S73">
        <f t="shared" si="16"/>
        <v>64</v>
      </c>
      <c r="T73" t="str">
        <f t="shared" si="11"/>
        <v>lb_dd64</v>
      </c>
      <c r="U73">
        <f t="shared" si="17"/>
        <v>2063</v>
      </c>
    </row>
    <row r="74" spans="1:23" collapsed="1" x14ac:dyDescent="0.3">
      <c r="A74" s="388"/>
      <c r="B74" s="389"/>
      <c r="C74" s="389"/>
      <c r="D74" s="389"/>
      <c r="E74" s="389"/>
      <c r="F74" s="389"/>
      <c r="G74" s="389"/>
      <c r="H74" s="389"/>
      <c r="I74" s="389"/>
      <c r="J74" s="390"/>
    </row>
    <row r="75" spans="1:23" x14ac:dyDescent="0.3">
      <c r="A75" s="345" t="s">
        <v>288</v>
      </c>
      <c r="B75" s="345"/>
      <c r="C75" s="345"/>
      <c r="D75" s="345"/>
      <c r="E75" s="345"/>
      <c r="F75" s="345"/>
      <c r="G75" s="345"/>
      <c r="H75" s="345"/>
      <c r="I75" s="345"/>
      <c r="J75" s="345"/>
    </row>
    <row r="76" spans="1:23" hidden="1" outlineLevel="1" x14ac:dyDescent="0.3">
      <c r="A76" s="346">
        <v>23</v>
      </c>
      <c r="B76" s="398" t="s">
        <v>7</v>
      </c>
      <c r="C76" s="63" t="s">
        <v>12</v>
      </c>
      <c r="D76" s="24" t="str">
        <f>CONCATENATE("1QS",P76," ",Q76)</f>
        <v>1QS5 Положение</v>
      </c>
      <c r="E76" s="1" t="s">
        <v>207</v>
      </c>
      <c r="F76" s="399" t="s">
        <v>28</v>
      </c>
      <c r="G76" s="397" t="s">
        <v>330</v>
      </c>
      <c r="H76" s="356" t="s">
        <v>59</v>
      </c>
      <c r="I76" s="11">
        <v>4160</v>
      </c>
      <c r="J76" s="18" t="str">
        <f>IF(OR(D76="",D76="-"),"",CONCATENATE("SPT021",K76,"/",L76,".",M76))</f>
        <v>SPT021DC/GGIO5.Ind1</v>
      </c>
      <c r="K76" s="23" t="s">
        <v>78</v>
      </c>
      <c r="L76" s="9" t="s">
        <v>248</v>
      </c>
      <c r="M76" s="9" t="s">
        <v>36</v>
      </c>
      <c r="P76" s="48">
        <v>5</v>
      </c>
      <c r="Q76" t="s">
        <v>209</v>
      </c>
      <c r="S76">
        <f t="shared" ref="S76:S91" si="20">I76-4095</f>
        <v>65</v>
      </c>
      <c r="T76" t="str">
        <f t="shared" ref="T76:T91" si="21">_xlfn.CONCAT($T$1,S76)</f>
        <v>lb_dd65</v>
      </c>
      <c r="U76">
        <f t="shared" ref="U76:U91" si="22">S76+1999</f>
        <v>2064</v>
      </c>
      <c r="V76">
        <v>833</v>
      </c>
      <c r="W76">
        <v>1082</v>
      </c>
    </row>
    <row r="77" spans="1:23" hidden="1" outlineLevel="1" x14ac:dyDescent="0.3">
      <c r="A77" s="346"/>
      <c r="B77" s="398"/>
      <c r="C77" s="63" t="s">
        <v>8</v>
      </c>
      <c r="D77" s="25" t="s">
        <v>29</v>
      </c>
      <c r="E77" s="25" t="s">
        <v>29</v>
      </c>
      <c r="F77" s="400"/>
      <c r="G77" s="397"/>
      <c r="H77" s="357"/>
      <c r="I77" s="11">
        <v>4161</v>
      </c>
      <c r="J77" s="18" t="str">
        <f t="shared" ref="J77:J91" si="23">IF(OR(D77="",D77="-"),"",CONCATENATE("SPT021",K77,"/",L77,".",M77))</f>
        <v/>
      </c>
      <c r="M77" s="16"/>
      <c r="S77">
        <f t="shared" si="20"/>
        <v>66</v>
      </c>
      <c r="T77" t="str">
        <f t="shared" si="21"/>
        <v>lb_dd66</v>
      </c>
      <c r="U77">
        <f t="shared" si="22"/>
        <v>2065</v>
      </c>
    </row>
    <row r="78" spans="1:23" hidden="1" outlineLevel="1" x14ac:dyDescent="0.3">
      <c r="A78" s="346"/>
      <c r="B78" s="398"/>
      <c r="C78" s="63" t="s">
        <v>9</v>
      </c>
      <c r="D78" s="24" t="str">
        <f t="shared" ref="D78:D88" si="24">CONCATENATE("1QS",P78," ",Q78)</f>
        <v>1QS6 Положение</v>
      </c>
      <c r="E78" s="1" t="s">
        <v>207</v>
      </c>
      <c r="F78" s="400"/>
      <c r="G78" s="397"/>
      <c r="H78" s="357"/>
      <c r="I78" s="11">
        <v>4162</v>
      </c>
      <c r="J78" s="18" t="str">
        <f t="shared" si="23"/>
        <v>SPT021DC/GGIO5.Ind2</v>
      </c>
      <c r="K78" s="23" t="s">
        <v>78</v>
      </c>
      <c r="L78" s="9" t="s">
        <v>248</v>
      </c>
      <c r="M78" s="9" t="s">
        <v>38</v>
      </c>
      <c r="P78" s="48">
        <v>6</v>
      </c>
      <c r="Q78" t="s">
        <v>209</v>
      </c>
      <c r="S78">
        <f t="shared" si="20"/>
        <v>67</v>
      </c>
      <c r="T78" t="str">
        <f t="shared" si="21"/>
        <v>lb_dd67</v>
      </c>
      <c r="U78">
        <f t="shared" si="22"/>
        <v>2066</v>
      </c>
    </row>
    <row r="79" spans="1:23" hidden="1" outlineLevel="1" x14ac:dyDescent="0.3">
      <c r="A79" s="346"/>
      <c r="B79" s="398"/>
      <c r="C79" s="63" t="s">
        <v>13</v>
      </c>
      <c r="D79" s="25" t="s">
        <v>29</v>
      </c>
      <c r="E79" s="25" t="s">
        <v>29</v>
      </c>
      <c r="F79" s="400"/>
      <c r="G79" s="397"/>
      <c r="H79" s="357"/>
      <c r="I79" s="11">
        <v>4163</v>
      </c>
      <c r="J79" s="18" t="str">
        <f t="shared" si="23"/>
        <v/>
      </c>
      <c r="M79" s="16"/>
      <c r="S79">
        <f t="shared" si="20"/>
        <v>68</v>
      </c>
      <c r="T79" t="str">
        <f t="shared" si="21"/>
        <v>lb_dd68</v>
      </c>
      <c r="U79">
        <f t="shared" si="22"/>
        <v>2067</v>
      </c>
    </row>
    <row r="80" spans="1:23" hidden="1" outlineLevel="1" x14ac:dyDescent="0.3">
      <c r="A80" s="346"/>
      <c r="B80" s="398"/>
      <c r="C80" s="63" t="s">
        <v>14</v>
      </c>
      <c r="D80" s="24" t="str">
        <f t="shared" si="24"/>
        <v>1QS7 Положение</v>
      </c>
      <c r="E80" s="1" t="s">
        <v>207</v>
      </c>
      <c r="F80" s="400"/>
      <c r="G80" s="397"/>
      <c r="H80" s="357"/>
      <c r="I80" s="11">
        <v>4164</v>
      </c>
      <c r="J80" s="18" t="str">
        <f t="shared" si="23"/>
        <v>SPT021DC/GGIO5.Ind3</v>
      </c>
      <c r="K80" s="23" t="s">
        <v>78</v>
      </c>
      <c r="L80" s="9" t="s">
        <v>248</v>
      </c>
      <c r="M80" s="9" t="s">
        <v>40</v>
      </c>
      <c r="P80" s="48">
        <v>7</v>
      </c>
      <c r="Q80" t="s">
        <v>209</v>
      </c>
      <c r="S80">
        <f t="shared" si="20"/>
        <v>69</v>
      </c>
      <c r="T80" t="str">
        <f t="shared" si="21"/>
        <v>lb_dd69</v>
      </c>
      <c r="U80">
        <f t="shared" si="22"/>
        <v>2068</v>
      </c>
    </row>
    <row r="81" spans="1:21" hidden="1" outlineLevel="1" x14ac:dyDescent="0.3">
      <c r="A81" s="346"/>
      <c r="B81" s="398"/>
      <c r="C81" s="63" t="s">
        <v>15</v>
      </c>
      <c r="D81" s="25" t="s">
        <v>29</v>
      </c>
      <c r="E81" s="25" t="s">
        <v>29</v>
      </c>
      <c r="F81" s="400"/>
      <c r="G81" s="397"/>
      <c r="H81" s="357"/>
      <c r="I81" s="11">
        <v>4165</v>
      </c>
      <c r="J81" s="18" t="str">
        <f t="shared" si="23"/>
        <v/>
      </c>
      <c r="M81" s="16"/>
      <c r="S81">
        <f t="shared" si="20"/>
        <v>70</v>
      </c>
      <c r="T81" t="str">
        <f t="shared" si="21"/>
        <v>lb_dd70</v>
      </c>
      <c r="U81">
        <f t="shared" si="22"/>
        <v>2069</v>
      </c>
    </row>
    <row r="82" spans="1:21" hidden="1" outlineLevel="1" x14ac:dyDescent="0.3">
      <c r="A82" s="346"/>
      <c r="B82" s="398"/>
      <c r="C82" s="63" t="s">
        <v>16</v>
      </c>
      <c r="D82" s="24" t="str">
        <f t="shared" si="24"/>
        <v>1QS8 Положение</v>
      </c>
      <c r="E82" s="1" t="s">
        <v>207</v>
      </c>
      <c r="F82" s="400"/>
      <c r="G82" s="397"/>
      <c r="H82" s="357"/>
      <c r="I82" s="11">
        <v>4166</v>
      </c>
      <c r="J82" s="18" t="str">
        <f t="shared" si="23"/>
        <v>SPT021DC/GGIO5.Ind4</v>
      </c>
      <c r="K82" s="23" t="s">
        <v>78</v>
      </c>
      <c r="L82" s="9" t="s">
        <v>248</v>
      </c>
      <c r="M82" s="9" t="s">
        <v>42</v>
      </c>
      <c r="P82" s="48">
        <v>8</v>
      </c>
      <c r="Q82" t="s">
        <v>209</v>
      </c>
      <c r="S82">
        <f t="shared" si="20"/>
        <v>71</v>
      </c>
      <c r="T82" t="str">
        <f t="shared" si="21"/>
        <v>lb_dd71</v>
      </c>
      <c r="U82">
        <f t="shared" si="22"/>
        <v>2070</v>
      </c>
    </row>
    <row r="83" spans="1:21" hidden="1" outlineLevel="1" x14ac:dyDescent="0.3">
      <c r="A83" s="346"/>
      <c r="B83" s="398"/>
      <c r="C83" s="63" t="s">
        <v>17</v>
      </c>
      <c r="D83" s="25" t="s">
        <v>29</v>
      </c>
      <c r="E83" s="25" t="s">
        <v>29</v>
      </c>
      <c r="F83" s="400"/>
      <c r="G83" s="397"/>
      <c r="H83" s="357"/>
      <c r="I83" s="11">
        <v>4167</v>
      </c>
      <c r="J83" s="18" t="str">
        <f t="shared" si="23"/>
        <v/>
      </c>
      <c r="M83" s="16"/>
      <c r="S83">
        <f t="shared" si="20"/>
        <v>72</v>
      </c>
      <c r="T83" t="str">
        <f t="shared" si="21"/>
        <v>lb_dd72</v>
      </c>
      <c r="U83">
        <f t="shared" si="22"/>
        <v>2071</v>
      </c>
    </row>
    <row r="84" spans="1:21" hidden="1" outlineLevel="1" x14ac:dyDescent="0.3">
      <c r="A84" s="346"/>
      <c r="B84" s="398"/>
      <c r="C84" s="63" t="s">
        <v>18</v>
      </c>
      <c r="D84" s="24" t="str">
        <f t="shared" si="24"/>
        <v>1QS9 Положение</v>
      </c>
      <c r="E84" s="1" t="s">
        <v>207</v>
      </c>
      <c r="F84" s="400"/>
      <c r="G84" s="397"/>
      <c r="H84" s="357"/>
      <c r="I84" s="11">
        <v>4168</v>
      </c>
      <c r="J84" s="18" t="str">
        <f t="shared" si="23"/>
        <v>SPT021DC/GGIO5.Ind5</v>
      </c>
      <c r="K84" s="23" t="s">
        <v>78</v>
      </c>
      <c r="L84" s="9" t="s">
        <v>248</v>
      </c>
      <c r="M84" s="9" t="s">
        <v>44</v>
      </c>
      <c r="P84" s="48">
        <v>9</v>
      </c>
      <c r="Q84" t="s">
        <v>209</v>
      </c>
      <c r="S84">
        <f t="shared" si="20"/>
        <v>73</v>
      </c>
      <c r="T84" t="str">
        <f t="shared" si="21"/>
        <v>lb_dd73</v>
      </c>
      <c r="U84">
        <f t="shared" si="22"/>
        <v>2072</v>
      </c>
    </row>
    <row r="85" spans="1:21" hidden="1" outlineLevel="1" x14ac:dyDescent="0.3">
      <c r="A85" s="346"/>
      <c r="B85" s="398"/>
      <c r="C85" s="63" t="s">
        <v>19</v>
      </c>
      <c r="D85" s="25" t="s">
        <v>29</v>
      </c>
      <c r="E85" s="25" t="s">
        <v>29</v>
      </c>
      <c r="F85" s="400"/>
      <c r="G85" s="397"/>
      <c r="H85" s="357"/>
      <c r="I85" s="11">
        <v>4169</v>
      </c>
      <c r="J85" s="18" t="str">
        <f t="shared" si="23"/>
        <v/>
      </c>
      <c r="M85" s="16"/>
      <c r="S85">
        <f t="shared" si="20"/>
        <v>74</v>
      </c>
      <c r="T85" t="str">
        <f t="shared" si="21"/>
        <v>lb_dd74</v>
      </c>
      <c r="U85">
        <f t="shared" si="22"/>
        <v>2073</v>
      </c>
    </row>
    <row r="86" spans="1:21" hidden="1" outlineLevel="1" x14ac:dyDescent="0.3">
      <c r="A86" s="346"/>
      <c r="B86" s="398"/>
      <c r="C86" s="63" t="s">
        <v>20</v>
      </c>
      <c r="D86" s="24" t="str">
        <f t="shared" si="24"/>
        <v>1QS10 Положение</v>
      </c>
      <c r="E86" s="1" t="s">
        <v>207</v>
      </c>
      <c r="F86" s="400"/>
      <c r="G86" s="397"/>
      <c r="H86" s="357"/>
      <c r="I86" s="11">
        <v>4170</v>
      </c>
      <c r="J86" s="18" t="str">
        <f t="shared" si="23"/>
        <v>SPT021DC/GGIO5.Ind6</v>
      </c>
      <c r="K86" s="23" t="s">
        <v>78</v>
      </c>
      <c r="L86" s="9" t="s">
        <v>248</v>
      </c>
      <c r="M86" s="9" t="s">
        <v>46</v>
      </c>
      <c r="P86" s="48">
        <v>10</v>
      </c>
      <c r="Q86" t="s">
        <v>209</v>
      </c>
      <c r="S86">
        <f t="shared" si="20"/>
        <v>75</v>
      </c>
      <c r="T86" t="str">
        <f t="shared" si="21"/>
        <v>lb_dd75</v>
      </c>
      <c r="U86">
        <f t="shared" si="22"/>
        <v>2074</v>
      </c>
    </row>
    <row r="87" spans="1:21" hidden="1" outlineLevel="1" x14ac:dyDescent="0.3">
      <c r="A87" s="346"/>
      <c r="B87" s="398"/>
      <c r="C87" s="63" t="s">
        <v>21</v>
      </c>
      <c r="D87" s="25" t="s">
        <v>29</v>
      </c>
      <c r="E87" s="25" t="s">
        <v>29</v>
      </c>
      <c r="F87" s="400"/>
      <c r="G87" s="397"/>
      <c r="H87" s="357"/>
      <c r="I87" s="11">
        <v>4171</v>
      </c>
      <c r="J87" s="18" t="str">
        <f t="shared" si="23"/>
        <v/>
      </c>
      <c r="M87" s="16"/>
      <c r="S87">
        <f t="shared" si="20"/>
        <v>76</v>
      </c>
      <c r="T87" t="str">
        <f t="shared" si="21"/>
        <v>lb_dd76</v>
      </c>
      <c r="U87">
        <f t="shared" si="22"/>
        <v>2075</v>
      </c>
    </row>
    <row r="88" spans="1:21" hidden="1" outlineLevel="1" x14ac:dyDescent="0.3">
      <c r="A88" s="346"/>
      <c r="B88" s="398"/>
      <c r="C88" s="63" t="s">
        <v>22</v>
      </c>
      <c r="D88" s="24" t="str">
        <f t="shared" si="24"/>
        <v>1QS11 Положение</v>
      </c>
      <c r="E88" s="1" t="s">
        <v>207</v>
      </c>
      <c r="F88" s="400"/>
      <c r="G88" s="397"/>
      <c r="H88" s="357"/>
      <c r="I88" s="11">
        <v>4172</v>
      </c>
      <c r="J88" s="18" t="str">
        <f t="shared" si="23"/>
        <v>SPT021DC/GGIO5.Ind7</v>
      </c>
      <c r="K88" s="23" t="s">
        <v>78</v>
      </c>
      <c r="L88" s="9" t="s">
        <v>248</v>
      </c>
      <c r="M88" s="9" t="s">
        <v>48</v>
      </c>
      <c r="P88" s="48">
        <v>11</v>
      </c>
      <c r="Q88" t="s">
        <v>209</v>
      </c>
      <c r="S88">
        <f t="shared" si="20"/>
        <v>77</v>
      </c>
      <c r="T88" t="str">
        <f t="shared" si="21"/>
        <v>lb_dd77</v>
      </c>
      <c r="U88">
        <f t="shared" si="22"/>
        <v>2076</v>
      </c>
    </row>
    <row r="89" spans="1:21" hidden="1" outlineLevel="1" x14ac:dyDescent="0.3">
      <c r="A89" s="346"/>
      <c r="B89" s="398"/>
      <c r="C89" s="63" t="s">
        <v>23</v>
      </c>
      <c r="D89" s="25" t="s">
        <v>29</v>
      </c>
      <c r="E89" s="25" t="s">
        <v>29</v>
      </c>
      <c r="F89" s="400"/>
      <c r="G89" s="397"/>
      <c r="H89" s="357"/>
      <c r="I89" s="11">
        <v>4173</v>
      </c>
      <c r="J89" s="18" t="str">
        <f t="shared" si="23"/>
        <v/>
      </c>
      <c r="M89" s="16"/>
      <c r="S89">
        <f t="shared" si="20"/>
        <v>78</v>
      </c>
      <c r="T89" t="str">
        <f t="shared" si="21"/>
        <v>lb_dd78</v>
      </c>
      <c r="U89">
        <f t="shared" si="22"/>
        <v>2077</v>
      </c>
    </row>
    <row r="90" spans="1:21" hidden="1" outlineLevel="1" x14ac:dyDescent="0.3">
      <c r="A90" s="346"/>
      <c r="B90" s="398"/>
      <c r="C90" s="63" t="s">
        <v>24</v>
      </c>
      <c r="D90" s="25" t="s">
        <v>29</v>
      </c>
      <c r="E90" s="25" t="s">
        <v>29</v>
      </c>
      <c r="F90" s="400"/>
      <c r="G90" s="397"/>
      <c r="H90" s="357"/>
      <c r="I90" s="11">
        <v>4174</v>
      </c>
      <c r="J90" s="18" t="str">
        <f t="shared" si="23"/>
        <v/>
      </c>
      <c r="M90" s="9"/>
      <c r="S90">
        <f t="shared" si="20"/>
        <v>79</v>
      </c>
      <c r="T90" t="str">
        <f t="shared" si="21"/>
        <v>lb_dd79</v>
      </c>
      <c r="U90">
        <f t="shared" si="22"/>
        <v>2078</v>
      </c>
    </row>
    <row r="91" spans="1:21" hidden="1" outlineLevel="1" x14ac:dyDescent="0.3">
      <c r="A91" s="346"/>
      <c r="B91" s="398"/>
      <c r="C91" s="63" t="s">
        <v>25</v>
      </c>
      <c r="D91" s="25" t="s">
        <v>29</v>
      </c>
      <c r="E91" s="25" t="s">
        <v>29</v>
      </c>
      <c r="F91" s="401"/>
      <c r="G91" s="397"/>
      <c r="H91" s="358"/>
      <c r="I91" s="11">
        <v>4175</v>
      </c>
      <c r="J91" s="18" t="str">
        <f t="shared" si="23"/>
        <v/>
      </c>
      <c r="M91" s="16"/>
      <c r="S91">
        <f t="shared" si="20"/>
        <v>80</v>
      </c>
      <c r="T91" t="str">
        <f t="shared" si="21"/>
        <v>lb_dd80</v>
      </c>
      <c r="U91">
        <f t="shared" si="22"/>
        <v>2079</v>
      </c>
    </row>
    <row r="92" spans="1:21" collapsed="1" x14ac:dyDescent="0.3">
      <c r="A92" s="388"/>
      <c r="B92" s="389"/>
      <c r="C92" s="389"/>
      <c r="D92" s="389"/>
      <c r="E92" s="389"/>
      <c r="F92" s="389"/>
      <c r="G92" s="389"/>
      <c r="H92" s="389"/>
      <c r="I92" s="389"/>
      <c r="J92" s="390"/>
    </row>
    <row r="93" spans="1:21" x14ac:dyDescent="0.3">
      <c r="A93" s="391" t="s">
        <v>282</v>
      </c>
      <c r="B93" s="392"/>
      <c r="C93" s="392"/>
      <c r="D93" s="392"/>
      <c r="E93" s="392"/>
      <c r="F93" s="392"/>
      <c r="G93" s="392"/>
      <c r="H93" s="392"/>
      <c r="I93" s="392"/>
      <c r="J93" s="393"/>
      <c r="K93" s="36"/>
      <c r="L93" s="44"/>
      <c r="M93" s="16"/>
    </row>
    <row r="94" spans="1:21" hidden="1" outlineLevel="1" x14ac:dyDescent="0.3">
      <c r="A94" s="336">
        <v>24</v>
      </c>
      <c r="B94" s="371" t="s">
        <v>7</v>
      </c>
      <c r="C94" s="64" t="s">
        <v>12</v>
      </c>
      <c r="D94" s="45" t="s">
        <v>262</v>
      </c>
      <c r="E94" s="18" t="s">
        <v>208</v>
      </c>
      <c r="F94" s="394" t="s">
        <v>28</v>
      </c>
      <c r="G94" s="397" t="s">
        <v>330</v>
      </c>
      <c r="H94" s="353" t="s">
        <v>59</v>
      </c>
      <c r="I94" s="12">
        <v>4176</v>
      </c>
      <c r="J94" s="18" t="str">
        <f>IF(OR(D94="",D94="-"),"",CONCATENATE("SPT021",K94,"/",L94,".",M94))</f>
        <v>SPT021DC/GGIO6.Alm1</v>
      </c>
      <c r="K94" s="36" t="s">
        <v>78</v>
      </c>
      <c r="L94" s="44" t="s">
        <v>249</v>
      </c>
      <c r="M94" s="34" t="s">
        <v>37</v>
      </c>
      <c r="S94">
        <f t="shared" ref="S94:S109" si="25">I94-4095</f>
        <v>81</v>
      </c>
      <c r="T94" t="str">
        <f t="shared" ref="T94:T109" si="26">_xlfn.CONCAT($T$1,S94)</f>
        <v>lb_dd81</v>
      </c>
    </row>
    <row r="95" spans="1:21" hidden="1" outlineLevel="1" x14ac:dyDescent="0.3">
      <c r="A95" s="336"/>
      <c r="B95" s="371"/>
      <c r="C95" s="64" t="s">
        <v>8</v>
      </c>
      <c r="D95" s="45" t="s">
        <v>263</v>
      </c>
      <c r="E95" s="18" t="s">
        <v>207</v>
      </c>
      <c r="F95" s="395"/>
      <c r="G95" s="397"/>
      <c r="H95" s="354"/>
      <c r="I95" s="12">
        <v>4177</v>
      </c>
      <c r="J95" s="18" t="str">
        <f t="shared" ref="J95:J109" si="27">IF(OR(D95="",D95="-"),"",CONCATENATE("SPT021",K95,"/",L95,".",M95))</f>
        <v>SPT021DC/GGIO6.Ind1</v>
      </c>
      <c r="K95" s="36" t="s">
        <v>78</v>
      </c>
      <c r="L95" s="44" t="s">
        <v>249</v>
      </c>
      <c r="M95" s="44" t="s">
        <v>36</v>
      </c>
      <c r="S95">
        <f t="shared" si="25"/>
        <v>82</v>
      </c>
      <c r="T95" t="str">
        <f t="shared" si="26"/>
        <v>lb_dd82</v>
      </c>
    </row>
    <row r="96" spans="1:21" hidden="1" outlineLevel="1" x14ac:dyDescent="0.3">
      <c r="A96" s="336"/>
      <c r="B96" s="371"/>
      <c r="C96" s="64" t="s">
        <v>9</v>
      </c>
      <c r="D96" s="45" t="s">
        <v>264</v>
      </c>
      <c r="E96" s="18" t="s">
        <v>274</v>
      </c>
      <c r="F96" s="395"/>
      <c r="G96" s="397"/>
      <c r="H96" s="354"/>
      <c r="I96" s="12">
        <v>4178</v>
      </c>
      <c r="J96" s="18" t="str">
        <f t="shared" si="27"/>
        <v>SPT021DC/GGIO6.Alm2</v>
      </c>
      <c r="K96" s="36" t="s">
        <v>78</v>
      </c>
      <c r="L96" s="44" t="s">
        <v>249</v>
      </c>
      <c r="M96" s="34" t="s">
        <v>39</v>
      </c>
      <c r="S96">
        <f t="shared" si="25"/>
        <v>83</v>
      </c>
      <c r="T96" t="str">
        <f t="shared" si="26"/>
        <v>lb_dd83</v>
      </c>
    </row>
    <row r="97" spans="1:24" hidden="1" outlineLevel="1" x14ac:dyDescent="0.3">
      <c r="A97" s="336"/>
      <c r="B97" s="371"/>
      <c r="C97" s="64" t="s">
        <v>13</v>
      </c>
      <c r="D97" s="46" t="s">
        <v>29</v>
      </c>
      <c r="E97" s="46" t="s">
        <v>29</v>
      </c>
      <c r="F97" s="395"/>
      <c r="G97" s="397"/>
      <c r="H97" s="354"/>
      <c r="I97" s="12">
        <v>4179</v>
      </c>
      <c r="J97" s="18" t="str">
        <f t="shared" si="27"/>
        <v/>
      </c>
      <c r="K97" s="36"/>
      <c r="L97" s="44"/>
      <c r="M97" s="16"/>
      <c r="S97">
        <f t="shared" si="25"/>
        <v>84</v>
      </c>
      <c r="T97" t="str">
        <f t="shared" si="26"/>
        <v>lb_dd84</v>
      </c>
    </row>
    <row r="98" spans="1:24" hidden="1" outlineLevel="1" x14ac:dyDescent="0.3">
      <c r="A98" s="336"/>
      <c r="B98" s="371"/>
      <c r="C98" s="64" t="s">
        <v>14</v>
      </c>
      <c r="D98" s="46" t="s">
        <v>29</v>
      </c>
      <c r="E98" s="46" t="s">
        <v>29</v>
      </c>
      <c r="F98" s="395"/>
      <c r="G98" s="397"/>
      <c r="H98" s="354"/>
      <c r="I98" s="12">
        <v>4180</v>
      </c>
      <c r="J98" s="18" t="str">
        <f t="shared" si="27"/>
        <v/>
      </c>
      <c r="K98" s="36"/>
      <c r="L98" s="44"/>
      <c r="M98" s="16"/>
      <c r="S98">
        <f t="shared" si="25"/>
        <v>85</v>
      </c>
      <c r="T98" t="str">
        <f t="shared" si="26"/>
        <v>lb_dd85</v>
      </c>
    </row>
    <row r="99" spans="1:24" hidden="1" outlineLevel="1" x14ac:dyDescent="0.3">
      <c r="A99" s="336"/>
      <c r="B99" s="371"/>
      <c r="C99" s="64" t="s">
        <v>15</v>
      </c>
      <c r="D99" s="46" t="s">
        <v>29</v>
      </c>
      <c r="E99" s="46" t="s">
        <v>29</v>
      </c>
      <c r="F99" s="395"/>
      <c r="G99" s="397"/>
      <c r="H99" s="354"/>
      <c r="I99" s="12">
        <v>4181</v>
      </c>
      <c r="J99" s="18" t="str">
        <f t="shared" si="27"/>
        <v/>
      </c>
      <c r="K99" s="36"/>
      <c r="L99" s="44"/>
      <c r="M99" s="16"/>
      <c r="S99">
        <f t="shared" si="25"/>
        <v>86</v>
      </c>
      <c r="T99" t="str">
        <f t="shared" si="26"/>
        <v>lb_dd86</v>
      </c>
    </row>
    <row r="100" spans="1:24" hidden="1" outlineLevel="1" x14ac:dyDescent="0.3">
      <c r="A100" s="336"/>
      <c r="B100" s="371"/>
      <c r="C100" s="64" t="s">
        <v>16</v>
      </c>
      <c r="D100" s="46" t="s">
        <v>29</v>
      </c>
      <c r="E100" s="46" t="s">
        <v>29</v>
      </c>
      <c r="F100" s="395"/>
      <c r="G100" s="397"/>
      <c r="H100" s="354"/>
      <c r="I100" s="12">
        <v>4182</v>
      </c>
      <c r="J100" s="18" t="str">
        <f t="shared" si="27"/>
        <v/>
      </c>
      <c r="K100" s="36"/>
      <c r="L100" s="44"/>
      <c r="M100" s="44"/>
      <c r="S100">
        <f t="shared" si="25"/>
        <v>87</v>
      </c>
      <c r="T100" t="str">
        <f t="shared" si="26"/>
        <v>lb_dd87</v>
      </c>
    </row>
    <row r="101" spans="1:24" hidden="1" outlineLevel="1" x14ac:dyDescent="0.3">
      <c r="A101" s="336"/>
      <c r="B101" s="371"/>
      <c r="C101" s="64" t="s">
        <v>17</v>
      </c>
      <c r="D101" s="46" t="s">
        <v>29</v>
      </c>
      <c r="E101" s="46" t="s">
        <v>29</v>
      </c>
      <c r="F101" s="395"/>
      <c r="G101" s="397"/>
      <c r="H101" s="354"/>
      <c r="I101" s="12">
        <v>4183</v>
      </c>
      <c r="J101" s="18" t="str">
        <f t="shared" si="27"/>
        <v/>
      </c>
      <c r="K101" s="36"/>
      <c r="L101" s="44"/>
      <c r="M101" s="16"/>
      <c r="S101">
        <f t="shared" si="25"/>
        <v>88</v>
      </c>
      <c r="T101" t="str">
        <f t="shared" si="26"/>
        <v>lb_dd88</v>
      </c>
    </row>
    <row r="102" spans="1:24" hidden="1" outlineLevel="1" x14ac:dyDescent="0.3">
      <c r="A102" s="336"/>
      <c r="B102" s="371"/>
      <c r="C102" s="64" t="s">
        <v>18</v>
      </c>
      <c r="D102" s="46" t="s">
        <v>29</v>
      </c>
      <c r="E102" s="46" t="s">
        <v>29</v>
      </c>
      <c r="F102" s="395"/>
      <c r="G102" s="397"/>
      <c r="H102" s="354"/>
      <c r="I102" s="12">
        <v>4184</v>
      </c>
      <c r="J102" s="18" t="str">
        <f t="shared" si="27"/>
        <v/>
      </c>
      <c r="K102" s="36"/>
      <c r="L102" s="44"/>
      <c r="M102" s="44"/>
      <c r="S102">
        <f t="shared" si="25"/>
        <v>89</v>
      </c>
      <c r="T102" t="str">
        <f t="shared" si="26"/>
        <v>lb_dd89</v>
      </c>
    </row>
    <row r="103" spans="1:24" hidden="1" outlineLevel="1" x14ac:dyDescent="0.3">
      <c r="A103" s="336"/>
      <c r="B103" s="371"/>
      <c r="C103" s="64" t="s">
        <v>19</v>
      </c>
      <c r="D103" s="46" t="s">
        <v>29</v>
      </c>
      <c r="E103" s="46" t="s">
        <v>29</v>
      </c>
      <c r="F103" s="395"/>
      <c r="G103" s="397"/>
      <c r="H103" s="354"/>
      <c r="I103" s="12">
        <v>4185</v>
      </c>
      <c r="J103" s="18" t="str">
        <f t="shared" si="27"/>
        <v/>
      </c>
      <c r="K103" s="36"/>
      <c r="L103" s="44"/>
      <c r="M103" s="16"/>
      <c r="S103">
        <f t="shared" si="25"/>
        <v>90</v>
      </c>
      <c r="T103" t="str">
        <f t="shared" si="26"/>
        <v>lb_dd90</v>
      </c>
    </row>
    <row r="104" spans="1:24" hidden="1" outlineLevel="1" x14ac:dyDescent="0.3">
      <c r="A104" s="336"/>
      <c r="B104" s="371"/>
      <c r="C104" s="64" t="s">
        <v>20</v>
      </c>
      <c r="D104" s="46" t="s">
        <v>29</v>
      </c>
      <c r="E104" s="46" t="s">
        <v>29</v>
      </c>
      <c r="F104" s="395"/>
      <c r="G104" s="397"/>
      <c r="H104" s="354"/>
      <c r="I104" s="12">
        <v>4186</v>
      </c>
      <c r="J104" s="18" t="str">
        <f t="shared" si="27"/>
        <v/>
      </c>
      <c r="K104" s="36"/>
      <c r="L104" s="44"/>
      <c r="M104" s="44"/>
      <c r="S104">
        <f t="shared" si="25"/>
        <v>91</v>
      </c>
      <c r="T104" t="str">
        <f t="shared" si="26"/>
        <v>lb_dd91</v>
      </c>
    </row>
    <row r="105" spans="1:24" hidden="1" outlineLevel="1" x14ac:dyDescent="0.3">
      <c r="A105" s="336"/>
      <c r="B105" s="371"/>
      <c r="C105" s="64" t="s">
        <v>21</v>
      </c>
      <c r="D105" s="46" t="s">
        <v>29</v>
      </c>
      <c r="E105" s="46" t="s">
        <v>29</v>
      </c>
      <c r="F105" s="395"/>
      <c r="G105" s="397"/>
      <c r="H105" s="354"/>
      <c r="I105" s="12">
        <v>4187</v>
      </c>
      <c r="J105" s="18" t="str">
        <f t="shared" si="27"/>
        <v/>
      </c>
      <c r="K105" s="36"/>
      <c r="L105" s="44"/>
      <c r="M105" s="16"/>
      <c r="S105">
        <f t="shared" si="25"/>
        <v>92</v>
      </c>
      <c r="T105" t="str">
        <f t="shared" si="26"/>
        <v>lb_dd92</v>
      </c>
    </row>
    <row r="106" spans="1:24" hidden="1" outlineLevel="1" x14ac:dyDescent="0.3">
      <c r="A106" s="336"/>
      <c r="B106" s="371"/>
      <c r="C106" s="64" t="s">
        <v>22</v>
      </c>
      <c r="D106" s="46" t="s">
        <v>29</v>
      </c>
      <c r="E106" s="46" t="s">
        <v>29</v>
      </c>
      <c r="F106" s="395"/>
      <c r="G106" s="397"/>
      <c r="H106" s="354"/>
      <c r="I106" s="12">
        <v>4188</v>
      </c>
      <c r="J106" s="18" t="str">
        <f t="shared" si="27"/>
        <v/>
      </c>
      <c r="K106" s="36"/>
      <c r="L106" s="44"/>
      <c r="M106" s="44"/>
      <c r="S106">
        <f t="shared" si="25"/>
        <v>93</v>
      </c>
      <c r="T106" t="str">
        <f t="shared" si="26"/>
        <v>lb_dd93</v>
      </c>
    </row>
    <row r="107" spans="1:24" hidden="1" outlineLevel="1" x14ac:dyDescent="0.3">
      <c r="A107" s="336"/>
      <c r="B107" s="371"/>
      <c r="C107" s="64" t="s">
        <v>23</v>
      </c>
      <c r="D107" s="46" t="s">
        <v>29</v>
      </c>
      <c r="E107" s="46" t="s">
        <v>29</v>
      </c>
      <c r="F107" s="395"/>
      <c r="G107" s="397"/>
      <c r="H107" s="354"/>
      <c r="I107" s="12">
        <v>4189</v>
      </c>
      <c r="J107" s="18" t="str">
        <f t="shared" si="27"/>
        <v/>
      </c>
      <c r="K107" s="36"/>
      <c r="L107" s="44"/>
      <c r="M107" s="16"/>
      <c r="S107">
        <f t="shared" si="25"/>
        <v>94</v>
      </c>
      <c r="T107" t="str">
        <f t="shared" si="26"/>
        <v>lb_dd94</v>
      </c>
    </row>
    <row r="108" spans="1:24" hidden="1" outlineLevel="1" x14ac:dyDescent="0.3">
      <c r="A108" s="336"/>
      <c r="B108" s="371"/>
      <c r="C108" s="64" t="s">
        <v>24</v>
      </c>
      <c r="D108" s="46" t="s">
        <v>29</v>
      </c>
      <c r="E108" s="46" t="s">
        <v>29</v>
      </c>
      <c r="F108" s="395"/>
      <c r="G108" s="397"/>
      <c r="H108" s="354"/>
      <c r="I108" s="12">
        <v>4190</v>
      </c>
      <c r="J108" s="18" t="str">
        <f t="shared" si="27"/>
        <v/>
      </c>
      <c r="K108" s="36"/>
      <c r="L108" s="44"/>
      <c r="M108" s="44"/>
      <c r="S108">
        <f t="shared" si="25"/>
        <v>95</v>
      </c>
      <c r="T108" t="str">
        <f t="shared" si="26"/>
        <v>lb_dd95</v>
      </c>
    </row>
    <row r="109" spans="1:24" hidden="1" outlineLevel="1" x14ac:dyDescent="0.3">
      <c r="A109" s="336"/>
      <c r="B109" s="371"/>
      <c r="C109" s="64" t="s">
        <v>25</v>
      </c>
      <c r="D109" s="46" t="s">
        <v>29</v>
      </c>
      <c r="E109" s="46" t="s">
        <v>29</v>
      </c>
      <c r="F109" s="396"/>
      <c r="G109" s="397"/>
      <c r="H109" s="355"/>
      <c r="I109" s="12">
        <v>4191</v>
      </c>
      <c r="J109" s="18" t="str">
        <f t="shared" si="27"/>
        <v/>
      </c>
      <c r="K109" s="36"/>
      <c r="L109" s="44"/>
      <c r="M109" s="16"/>
      <c r="S109">
        <f t="shared" si="25"/>
        <v>96</v>
      </c>
      <c r="T109" t="str">
        <f t="shared" si="26"/>
        <v>lb_dd96</v>
      </c>
    </row>
    <row r="110" spans="1:24" s="16" customFormat="1" ht="15" customHeight="1" collapsed="1" x14ac:dyDescent="0.3">
      <c r="A110" s="345"/>
      <c r="B110" s="345"/>
      <c r="C110" s="345"/>
      <c r="D110" s="345"/>
      <c r="E110" s="345"/>
      <c r="F110" s="345"/>
      <c r="G110" s="345"/>
      <c r="H110" s="345"/>
      <c r="I110" s="345"/>
      <c r="J110" s="345"/>
      <c r="K110" s="23"/>
      <c r="L110" s="44"/>
      <c r="P110" s="51"/>
    </row>
    <row r="111" spans="1:24" s="16" customFormat="1" x14ac:dyDescent="0.3">
      <c r="A111" s="387" t="s">
        <v>283</v>
      </c>
      <c r="B111" s="387"/>
      <c r="C111" s="387"/>
      <c r="D111" s="387"/>
      <c r="E111" s="387"/>
      <c r="F111" s="387"/>
      <c r="G111" s="387"/>
      <c r="H111" s="387"/>
      <c r="I111" s="387"/>
      <c r="J111" s="387"/>
      <c r="K111" s="8"/>
      <c r="L111" s="9"/>
      <c r="M111"/>
      <c r="N111" s="26"/>
      <c r="O111" s="27"/>
      <c r="P111" s="49"/>
      <c r="Q111" s="28"/>
      <c r="R111" s="28"/>
      <c r="S111" s="60"/>
      <c r="T111" s="29"/>
      <c r="U111" s="30"/>
      <c r="V111" s="31"/>
      <c r="W111" s="28"/>
      <c r="X111" s="32"/>
    </row>
    <row r="112" spans="1:24" s="16" customFormat="1" hidden="1" outlineLevel="1" x14ac:dyDescent="0.3">
      <c r="A112" s="362">
        <v>25</v>
      </c>
      <c r="B112" s="347" t="s">
        <v>3</v>
      </c>
      <c r="C112" s="2" t="s">
        <v>32</v>
      </c>
      <c r="D112" s="7" t="s">
        <v>297</v>
      </c>
      <c r="E112" s="3" t="s">
        <v>4</v>
      </c>
      <c r="F112" s="350" t="s">
        <v>28</v>
      </c>
      <c r="G112" s="353" t="s">
        <v>330</v>
      </c>
      <c r="H112" s="339" t="s">
        <v>59</v>
      </c>
      <c r="I112" s="12">
        <v>4192</v>
      </c>
      <c r="J112" s="1" t="str">
        <f>IF(OR(D112="",D112="-"),"",CONCATENATE("SPT021",K112,"/",L112,".",M112))</f>
        <v>SPT021DC/GGIO7.Alm1</v>
      </c>
      <c r="K112" s="8" t="s">
        <v>78</v>
      </c>
      <c r="L112" s="9" t="s">
        <v>250</v>
      </c>
      <c r="M112" s="34" t="s">
        <v>37</v>
      </c>
      <c r="N112" s="26"/>
      <c r="O112" s="27"/>
      <c r="P112" s="49"/>
      <c r="Q112" s="28"/>
      <c r="R112" s="28"/>
      <c r="S112">
        <f t="shared" ref="S112:S114" si="28">I112-4095</f>
        <v>97</v>
      </c>
      <c r="T112" t="str">
        <f t="shared" ref="T112:T114" si="29">_xlfn.CONCAT($T$1,S112)</f>
        <v>lb_dd97</v>
      </c>
      <c r="U112" s="30"/>
      <c r="V112" s="31"/>
      <c r="W112" s="28"/>
      <c r="X112" s="32"/>
    </row>
    <row r="113" spans="1:26" s="16" customFormat="1" hidden="1" outlineLevel="1" x14ac:dyDescent="0.3">
      <c r="A113" s="363"/>
      <c r="B113" s="348"/>
      <c r="C113" s="2" t="s">
        <v>33</v>
      </c>
      <c r="D113" s="7" t="s">
        <v>298</v>
      </c>
      <c r="E113" s="3" t="s">
        <v>4</v>
      </c>
      <c r="F113" s="351"/>
      <c r="G113" s="354"/>
      <c r="H113" s="339"/>
      <c r="I113" s="12">
        <v>4193</v>
      </c>
      <c r="J113" s="1" t="str">
        <f t="shared" ref="J113:J117" si="30">IF(OR(D113="",D113="-"),"",CONCATENATE("SPT021",K113,"/",L113,".",M113))</f>
        <v>SPT021DC/GGIO7.Alm2</v>
      </c>
      <c r="K113" s="8" t="s">
        <v>78</v>
      </c>
      <c r="L113" s="9" t="s">
        <v>250</v>
      </c>
      <c r="M113" s="34" t="s">
        <v>39</v>
      </c>
      <c r="N113" s="26"/>
      <c r="O113" s="27"/>
      <c r="P113" s="49"/>
      <c r="Q113" s="28"/>
      <c r="R113" s="28"/>
      <c r="S113">
        <f t="shared" si="28"/>
        <v>98</v>
      </c>
      <c r="T113" t="str">
        <f t="shared" si="29"/>
        <v>lb_dd98</v>
      </c>
      <c r="U113" s="30"/>
      <c r="V113" s="31"/>
      <c r="W113" s="28"/>
      <c r="X113" s="32"/>
    </row>
    <row r="114" spans="1:26" s="16" customFormat="1" hidden="1" outlineLevel="1" x14ac:dyDescent="0.3">
      <c r="A114" s="363"/>
      <c r="B114" s="348"/>
      <c r="C114" s="2" t="s">
        <v>34</v>
      </c>
      <c r="D114" s="7" t="s">
        <v>299</v>
      </c>
      <c r="E114" s="3" t="s">
        <v>4</v>
      </c>
      <c r="F114" s="351"/>
      <c r="G114" s="354"/>
      <c r="H114" s="339"/>
      <c r="I114" s="12">
        <v>4194</v>
      </c>
      <c r="J114" s="1" t="str">
        <f t="shared" si="30"/>
        <v>SPT021DC/GGIO7.Alm3</v>
      </c>
      <c r="K114" s="8" t="s">
        <v>78</v>
      </c>
      <c r="L114" s="9" t="s">
        <v>250</v>
      </c>
      <c r="M114" s="34" t="s">
        <v>41</v>
      </c>
      <c r="N114" s="26"/>
      <c r="O114" s="27"/>
      <c r="P114" s="49"/>
      <c r="Q114" s="28"/>
      <c r="R114" s="28"/>
      <c r="S114">
        <f t="shared" si="28"/>
        <v>99</v>
      </c>
      <c r="T114" t="str">
        <f t="shared" si="29"/>
        <v>lb_dd99</v>
      </c>
      <c r="U114" s="30"/>
      <c r="V114" s="31"/>
      <c r="W114" s="28"/>
      <c r="X114" s="32"/>
    </row>
    <row r="115" spans="1:26" hidden="1" outlineLevel="1" x14ac:dyDescent="0.3">
      <c r="A115" s="363"/>
      <c r="B115" s="348"/>
      <c r="C115" s="2" t="s">
        <v>211</v>
      </c>
      <c r="D115" s="7" t="s">
        <v>216</v>
      </c>
      <c r="E115" s="3" t="s">
        <v>35</v>
      </c>
      <c r="F115" s="350" t="s">
        <v>30</v>
      </c>
      <c r="G115" s="354"/>
      <c r="H115" s="339" t="s">
        <v>3</v>
      </c>
      <c r="I115" s="12">
        <v>8704</v>
      </c>
      <c r="J115" s="1" t="str">
        <f t="shared" si="30"/>
        <v>SPT021DC/GGIO7.AnIn1</v>
      </c>
      <c r="K115" s="8" t="s">
        <v>78</v>
      </c>
      <c r="L115" s="9" t="s">
        <v>250</v>
      </c>
      <c r="M115" s="16" t="s">
        <v>51</v>
      </c>
      <c r="N115" s="26"/>
      <c r="O115" s="27"/>
      <c r="P115" s="49"/>
      <c r="Q115" s="28"/>
      <c r="R115" s="28"/>
      <c r="S115" s="60"/>
      <c r="T115" s="29"/>
      <c r="U115" s="30"/>
      <c r="V115" s="31"/>
      <c r="W115" s="28"/>
      <c r="X115" s="32"/>
      <c r="Y115" s="16"/>
      <c r="Z115" s="16"/>
    </row>
    <row r="116" spans="1:26" hidden="1" outlineLevel="1" x14ac:dyDescent="0.3">
      <c r="A116" s="363"/>
      <c r="B116" s="348"/>
      <c r="C116" s="2" t="s">
        <v>212</v>
      </c>
      <c r="D116" s="7" t="s">
        <v>213</v>
      </c>
      <c r="E116" s="3" t="s">
        <v>35</v>
      </c>
      <c r="F116" s="351"/>
      <c r="G116" s="354"/>
      <c r="H116" s="339"/>
      <c r="I116" s="12">
        <v>8706</v>
      </c>
      <c r="J116" s="1" t="str">
        <f t="shared" si="30"/>
        <v>SPT021DC/GGIO7.AnIn2</v>
      </c>
      <c r="K116" s="8" t="s">
        <v>78</v>
      </c>
      <c r="L116" s="9" t="s">
        <v>250</v>
      </c>
      <c r="M116" s="16" t="s">
        <v>52</v>
      </c>
      <c r="N116" s="26"/>
      <c r="O116" s="27"/>
      <c r="P116" s="49"/>
      <c r="Q116" s="28"/>
      <c r="R116" s="28"/>
      <c r="S116" s="60"/>
      <c r="T116" s="29"/>
      <c r="U116" s="30"/>
      <c r="V116" s="31"/>
      <c r="W116" s="28"/>
      <c r="X116" s="32"/>
      <c r="Y116" s="16"/>
      <c r="Z116" s="16"/>
    </row>
    <row r="117" spans="1:26" hidden="1" outlineLevel="1" x14ac:dyDescent="0.3">
      <c r="A117" s="363"/>
      <c r="B117" s="348"/>
      <c r="C117" s="2" t="s">
        <v>214</v>
      </c>
      <c r="D117" s="7" t="s">
        <v>215</v>
      </c>
      <c r="E117" s="3" t="s">
        <v>35</v>
      </c>
      <c r="F117" s="351"/>
      <c r="G117" s="355"/>
      <c r="H117" s="339"/>
      <c r="I117" s="12">
        <v>8708</v>
      </c>
      <c r="J117" s="1" t="str">
        <f t="shared" si="30"/>
        <v>SPT021DC/GGIO7.AnIn3</v>
      </c>
      <c r="K117" s="8" t="s">
        <v>78</v>
      </c>
      <c r="L117" s="9" t="s">
        <v>250</v>
      </c>
      <c r="M117" s="16" t="s">
        <v>53</v>
      </c>
      <c r="N117" s="26"/>
      <c r="O117" s="27"/>
      <c r="P117" s="49"/>
      <c r="Q117" s="28"/>
      <c r="R117" s="28"/>
      <c r="S117" s="60"/>
      <c r="T117" s="29"/>
      <c r="U117" s="30"/>
      <c r="V117" s="31"/>
      <c r="W117" s="28"/>
      <c r="X117" s="32"/>
      <c r="Y117" s="16"/>
      <c r="Z117" s="16"/>
    </row>
    <row r="118" spans="1:26" s="16" customFormat="1" ht="15" customHeight="1" collapsed="1" x14ac:dyDescent="0.3">
      <c r="A118" s="345"/>
      <c r="B118" s="345"/>
      <c r="C118" s="345"/>
      <c r="D118" s="345"/>
      <c r="E118" s="345"/>
      <c r="F118" s="345"/>
      <c r="G118" s="345"/>
      <c r="H118" s="345"/>
      <c r="I118" s="345"/>
      <c r="J118" s="345"/>
      <c r="K118" s="23"/>
      <c r="L118" s="44"/>
      <c r="P118" s="51"/>
    </row>
    <row r="119" spans="1:26" s="16" customFormat="1" x14ac:dyDescent="0.3">
      <c r="A119" s="387" t="s">
        <v>284</v>
      </c>
      <c r="B119" s="387"/>
      <c r="C119" s="387"/>
      <c r="D119" s="387"/>
      <c r="E119" s="387"/>
      <c r="F119" s="387"/>
      <c r="G119" s="387"/>
      <c r="H119" s="387"/>
      <c r="I119" s="387"/>
      <c r="J119" s="387"/>
      <c r="K119" s="8"/>
      <c r="L119" s="9"/>
      <c r="M119"/>
      <c r="N119" s="26"/>
      <c r="O119" s="27"/>
      <c r="P119" s="49"/>
      <c r="Q119" s="28"/>
      <c r="R119" s="28"/>
      <c r="S119" s="60"/>
      <c r="T119" s="29"/>
      <c r="U119" s="30"/>
      <c r="V119" s="31"/>
      <c r="W119" s="28"/>
      <c r="X119" s="32"/>
    </row>
    <row r="120" spans="1:26" s="16" customFormat="1" hidden="1" outlineLevel="1" x14ac:dyDescent="0.3">
      <c r="A120" s="362">
        <v>26</v>
      </c>
      <c r="B120" s="347" t="s">
        <v>3</v>
      </c>
      <c r="C120" s="2" t="s">
        <v>32</v>
      </c>
      <c r="D120" s="7" t="s">
        <v>300</v>
      </c>
      <c r="E120" s="3" t="s">
        <v>4</v>
      </c>
      <c r="F120" s="350" t="s">
        <v>28</v>
      </c>
      <c r="G120" s="353" t="s">
        <v>330</v>
      </c>
      <c r="H120" s="339" t="s">
        <v>59</v>
      </c>
      <c r="I120" s="12">
        <v>4195</v>
      </c>
      <c r="J120" s="1" t="str">
        <f>IF(OR(D120="",D120="-"),"",CONCATENATE("SPT021",K120,"/",L120,".",M120))</f>
        <v>SPT021DC/GGIO8.Alm1</v>
      </c>
      <c r="K120" s="8" t="s">
        <v>78</v>
      </c>
      <c r="L120" s="9" t="s">
        <v>251</v>
      </c>
      <c r="M120" s="34" t="s">
        <v>37</v>
      </c>
      <c r="N120" s="26"/>
      <c r="O120" s="27"/>
      <c r="P120" s="49"/>
      <c r="Q120" s="28"/>
      <c r="R120" s="28"/>
      <c r="S120">
        <f t="shared" ref="S120:S122" si="31">I120-4095</f>
        <v>100</v>
      </c>
      <c r="T120" t="str">
        <f t="shared" ref="T120:T122" si="32">_xlfn.CONCAT($T$1,S120)</f>
        <v>lb_dd100</v>
      </c>
      <c r="U120" s="30"/>
      <c r="V120" s="31"/>
      <c r="W120" s="28"/>
      <c r="X120" s="32"/>
    </row>
    <row r="121" spans="1:26" s="16" customFormat="1" hidden="1" outlineLevel="1" x14ac:dyDescent="0.3">
      <c r="A121" s="363"/>
      <c r="B121" s="348"/>
      <c r="C121" s="2" t="s">
        <v>33</v>
      </c>
      <c r="D121" s="7" t="s">
        <v>301</v>
      </c>
      <c r="E121" s="3" t="s">
        <v>4</v>
      </c>
      <c r="F121" s="351"/>
      <c r="G121" s="354"/>
      <c r="H121" s="339"/>
      <c r="I121" s="12">
        <v>4196</v>
      </c>
      <c r="J121" s="1" t="str">
        <f t="shared" ref="J121:J125" si="33">IF(OR(D121="",D121="-"),"",CONCATENATE("SPT021",K121,"/",L121,".",M121))</f>
        <v>SPT021DC/GGIO8.Alm2</v>
      </c>
      <c r="K121" s="8" t="s">
        <v>78</v>
      </c>
      <c r="L121" s="9" t="s">
        <v>251</v>
      </c>
      <c r="M121" s="34" t="s">
        <v>39</v>
      </c>
      <c r="N121" s="26"/>
      <c r="O121" s="27"/>
      <c r="P121" s="49"/>
      <c r="Q121" s="28"/>
      <c r="R121" s="28"/>
      <c r="S121">
        <f t="shared" si="31"/>
        <v>101</v>
      </c>
      <c r="T121" t="str">
        <f t="shared" si="32"/>
        <v>lb_dd101</v>
      </c>
      <c r="U121" s="30"/>
      <c r="V121" s="31"/>
      <c r="W121" s="28"/>
      <c r="X121" s="32"/>
    </row>
    <row r="122" spans="1:26" s="16" customFormat="1" hidden="1" outlineLevel="1" x14ac:dyDescent="0.3">
      <c r="A122" s="363"/>
      <c r="B122" s="348"/>
      <c r="C122" s="2" t="s">
        <v>34</v>
      </c>
      <c r="D122" s="7" t="s">
        <v>302</v>
      </c>
      <c r="E122" s="3" t="s">
        <v>4</v>
      </c>
      <c r="F122" s="351"/>
      <c r="G122" s="354"/>
      <c r="H122" s="339"/>
      <c r="I122" s="12">
        <v>4197</v>
      </c>
      <c r="J122" s="1" t="str">
        <f t="shared" si="33"/>
        <v>SPT021DC/GGIO8.Alm3</v>
      </c>
      <c r="K122" s="8" t="s">
        <v>78</v>
      </c>
      <c r="L122" s="9" t="s">
        <v>251</v>
      </c>
      <c r="M122" s="34" t="s">
        <v>41</v>
      </c>
      <c r="N122" s="26"/>
      <c r="O122" s="27"/>
      <c r="P122" s="49"/>
      <c r="Q122" s="28"/>
      <c r="R122" s="28"/>
      <c r="S122">
        <f t="shared" si="31"/>
        <v>102</v>
      </c>
      <c r="T122" t="str">
        <f t="shared" si="32"/>
        <v>lb_dd102</v>
      </c>
      <c r="U122" s="30"/>
      <c r="V122" s="31"/>
      <c r="W122" s="28"/>
      <c r="X122" s="32"/>
    </row>
    <row r="123" spans="1:26" hidden="1" outlineLevel="1" x14ac:dyDescent="0.3">
      <c r="A123" s="363"/>
      <c r="B123" s="348"/>
      <c r="C123" s="2" t="s">
        <v>211</v>
      </c>
      <c r="D123" s="7" t="s">
        <v>216</v>
      </c>
      <c r="E123" s="3" t="s">
        <v>35</v>
      </c>
      <c r="F123" s="350" t="s">
        <v>30</v>
      </c>
      <c r="G123" s="354"/>
      <c r="H123" s="339" t="s">
        <v>3</v>
      </c>
      <c r="I123" s="12">
        <v>8716</v>
      </c>
      <c r="J123" s="1" t="str">
        <f t="shared" si="33"/>
        <v>SPT021DC/GGIO8.AnIn1</v>
      </c>
      <c r="K123" s="8" t="s">
        <v>78</v>
      </c>
      <c r="L123" s="9" t="s">
        <v>251</v>
      </c>
      <c r="M123" s="16" t="s">
        <v>51</v>
      </c>
      <c r="N123" s="26"/>
      <c r="O123" s="27"/>
      <c r="P123" s="49"/>
      <c r="Q123" s="28"/>
      <c r="R123" s="28"/>
      <c r="S123" s="60"/>
      <c r="T123" s="29"/>
      <c r="U123" s="30"/>
      <c r="V123" s="31"/>
      <c r="W123" s="28"/>
      <c r="X123" s="32"/>
      <c r="Y123" s="16"/>
      <c r="Z123" s="16"/>
    </row>
    <row r="124" spans="1:26" hidden="1" outlineLevel="1" x14ac:dyDescent="0.3">
      <c r="A124" s="363"/>
      <c r="B124" s="348"/>
      <c r="C124" s="2" t="s">
        <v>212</v>
      </c>
      <c r="D124" s="7" t="s">
        <v>213</v>
      </c>
      <c r="E124" s="3" t="s">
        <v>35</v>
      </c>
      <c r="F124" s="351"/>
      <c r="G124" s="354"/>
      <c r="H124" s="339"/>
      <c r="I124" s="12">
        <v>8718</v>
      </c>
      <c r="J124" s="1" t="str">
        <f t="shared" si="33"/>
        <v>SPT021DC/GGIO8.AnIn2</v>
      </c>
      <c r="K124" s="8" t="s">
        <v>78</v>
      </c>
      <c r="L124" s="9" t="s">
        <v>251</v>
      </c>
      <c r="M124" s="16" t="s">
        <v>52</v>
      </c>
      <c r="N124" s="26"/>
      <c r="O124" s="27"/>
      <c r="P124" s="49"/>
      <c r="Q124" s="28"/>
      <c r="R124" s="28"/>
      <c r="S124" s="60"/>
      <c r="T124" s="29"/>
      <c r="U124" s="30"/>
      <c r="V124" s="31"/>
      <c r="W124" s="28"/>
      <c r="X124" s="32"/>
      <c r="Y124" s="16"/>
      <c r="Z124" s="16"/>
    </row>
    <row r="125" spans="1:26" hidden="1" outlineLevel="1" x14ac:dyDescent="0.3">
      <c r="A125" s="363"/>
      <c r="B125" s="348"/>
      <c r="C125" s="2" t="s">
        <v>214</v>
      </c>
      <c r="D125" s="7" t="s">
        <v>215</v>
      </c>
      <c r="E125" s="3" t="s">
        <v>35</v>
      </c>
      <c r="F125" s="351"/>
      <c r="G125" s="355"/>
      <c r="H125" s="339"/>
      <c r="I125" s="12">
        <v>8720</v>
      </c>
      <c r="J125" s="1" t="str">
        <f t="shared" si="33"/>
        <v>SPT021DC/GGIO8.AnIn3</v>
      </c>
      <c r="K125" s="8" t="s">
        <v>78</v>
      </c>
      <c r="L125" s="9" t="s">
        <v>251</v>
      </c>
      <c r="M125" s="16" t="s">
        <v>53</v>
      </c>
      <c r="N125" s="26"/>
      <c r="O125" s="27"/>
      <c r="P125" s="49"/>
      <c r="Q125" s="28"/>
      <c r="R125" s="28"/>
      <c r="S125" s="60"/>
      <c r="T125" s="29"/>
      <c r="U125" s="30"/>
      <c r="V125" s="31"/>
      <c r="W125" s="28"/>
      <c r="X125" s="32"/>
      <c r="Y125" s="16"/>
      <c r="Z125" s="16"/>
    </row>
    <row r="126" spans="1:26" collapsed="1" x14ac:dyDescent="0.3">
      <c r="A126" s="384"/>
      <c r="B126" s="385"/>
      <c r="C126" s="385"/>
      <c r="D126" s="385"/>
      <c r="E126" s="385"/>
      <c r="F126" s="385"/>
      <c r="G126" s="385"/>
      <c r="H126" s="385"/>
      <c r="I126" s="385"/>
      <c r="J126" s="386"/>
      <c r="K126" s="8"/>
      <c r="N126" s="26"/>
      <c r="O126" s="27"/>
      <c r="P126" s="49"/>
      <c r="Q126" s="28"/>
      <c r="R126" s="28"/>
      <c r="S126" s="60"/>
      <c r="T126" s="29"/>
      <c r="U126" s="30"/>
      <c r="V126" s="31"/>
      <c r="W126" s="28"/>
      <c r="X126" s="32"/>
      <c r="Y126" s="16"/>
      <c r="Z126" s="16"/>
    </row>
    <row r="127" spans="1:26" s="16" customFormat="1" x14ac:dyDescent="0.3">
      <c r="A127" s="387" t="s">
        <v>285</v>
      </c>
      <c r="B127" s="387"/>
      <c r="C127" s="387"/>
      <c r="D127" s="387"/>
      <c r="E127" s="387"/>
      <c r="F127" s="387"/>
      <c r="G127" s="387"/>
      <c r="H127" s="387"/>
      <c r="I127" s="387"/>
      <c r="J127" s="387"/>
      <c r="K127" s="8"/>
      <c r="L127" s="9"/>
      <c r="M127"/>
      <c r="N127" s="26"/>
      <c r="O127" s="27"/>
      <c r="P127" s="49"/>
      <c r="Q127" s="28"/>
      <c r="R127" s="28"/>
      <c r="S127" s="60"/>
      <c r="T127" s="29"/>
      <c r="U127" s="30"/>
      <c r="V127" s="31"/>
      <c r="W127" s="28"/>
      <c r="X127" s="32"/>
    </row>
    <row r="128" spans="1:26" s="16" customFormat="1" hidden="1" outlineLevel="1" x14ac:dyDescent="0.3">
      <c r="A128" s="362">
        <v>27</v>
      </c>
      <c r="B128" s="347" t="s">
        <v>3</v>
      </c>
      <c r="C128" s="2" t="s">
        <v>32</v>
      </c>
      <c r="D128" s="7" t="s">
        <v>303</v>
      </c>
      <c r="E128" s="3" t="s">
        <v>4</v>
      </c>
      <c r="F128" s="350" t="s">
        <v>28</v>
      </c>
      <c r="G128" s="353" t="s">
        <v>330</v>
      </c>
      <c r="H128" s="339" t="s">
        <v>59</v>
      </c>
      <c r="I128" s="12">
        <v>4198</v>
      </c>
      <c r="J128" s="1" t="str">
        <f>IF(OR(D128="",D128="-"),"",CONCATENATE("SPT021",K128,"/",L128,".",M128))</f>
        <v>SPT021DC/GGIO9.Alm1</v>
      </c>
      <c r="K128" s="8" t="s">
        <v>78</v>
      </c>
      <c r="L128" s="9" t="s">
        <v>252</v>
      </c>
      <c r="M128" s="34" t="s">
        <v>37</v>
      </c>
      <c r="N128" s="26"/>
      <c r="O128" s="27"/>
      <c r="P128" s="49"/>
      <c r="Q128" s="28"/>
      <c r="R128" s="28"/>
      <c r="S128">
        <f t="shared" ref="S128:S130" si="34">I128-4095</f>
        <v>103</v>
      </c>
      <c r="T128" t="str">
        <f t="shared" ref="T128:T130" si="35">_xlfn.CONCAT($T$1,S128)</f>
        <v>lb_dd103</v>
      </c>
      <c r="U128" s="30"/>
      <c r="V128" s="31"/>
      <c r="W128" s="28"/>
      <c r="X128" s="32"/>
    </row>
    <row r="129" spans="1:26" s="16" customFormat="1" hidden="1" outlineLevel="1" x14ac:dyDescent="0.3">
      <c r="A129" s="363"/>
      <c r="B129" s="348"/>
      <c r="C129" s="2" t="s">
        <v>33</v>
      </c>
      <c r="D129" s="7" t="s">
        <v>304</v>
      </c>
      <c r="E129" s="3" t="s">
        <v>4</v>
      </c>
      <c r="F129" s="351"/>
      <c r="G129" s="354"/>
      <c r="H129" s="339"/>
      <c r="I129" s="12">
        <v>4199</v>
      </c>
      <c r="J129" s="1" t="str">
        <f t="shared" ref="J129:J133" si="36">IF(OR(D129="",D129="-"),"",CONCATENATE("SPT021",K129,"/",L129,".",M129))</f>
        <v>SPT021DC/GGIO9.Alm2</v>
      </c>
      <c r="K129" s="8" t="s">
        <v>78</v>
      </c>
      <c r="L129" s="9" t="s">
        <v>252</v>
      </c>
      <c r="M129" s="34" t="s">
        <v>39</v>
      </c>
      <c r="N129" s="26"/>
      <c r="O129" s="27"/>
      <c r="P129" s="49"/>
      <c r="Q129" s="28"/>
      <c r="R129" s="28"/>
      <c r="S129">
        <f t="shared" si="34"/>
        <v>104</v>
      </c>
      <c r="T129" t="str">
        <f t="shared" si="35"/>
        <v>lb_dd104</v>
      </c>
      <c r="U129" s="30"/>
      <c r="V129" s="31"/>
      <c r="W129" s="28"/>
      <c r="X129" s="32"/>
    </row>
    <row r="130" spans="1:26" s="16" customFormat="1" hidden="1" outlineLevel="1" x14ac:dyDescent="0.3">
      <c r="A130" s="363"/>
      <c r="B130" s="348"/>
      <c r="C130" s="2" t="s">
        <v>34</v>
      </c>
      <c r="D130" s="7" t="s">
        <v>305</v>
      </c>
      <c r="E130" s="3" t="s">
        <v>4</v>
      </c>
      <c r="F130" s="351"/>
      <c r="G130" s="354"/>
      <c r="H130" s="339"/>
      <c r="I130" s="12">
        <v>4200</v>
      </c>
      <c r="J130" s="1" t="str">
        <f t="shared" si="36"/>
        <v>SPT021DC/GGIO9.Alm3</v>
      </c>
      <c r="K130" s="8" t="s">
        <v>78</v>
      </c>
      <c r="L130" s="9" t="s">
        <v>252</v>
      </c>
      <c r="M130" s="34" t="s">
        <v>41</v>
      </c>
      <c r="N130" s="26"/>
      <c r="O130" s="27"/>
      <c r="P130" s="49"/>
      <c r="Q130" s="28"/>
      <c r="R130" s="28"/>
      <c r="S130">
        <f t="shared" si="34"/>
        <v>105</v>
      </c>
      <c r="T130" t="str">
        <f t="shared" si="35"/>
        <v>lb_dd105</v>
      </c>
      <c r="U130" s="30"/>
      <c r="V130" s="31"/>
      <c r="W130" s="28"/>
      <c r="X130" s="32"/>
    </row>
    <row r="131" spans="1:26" hidden="1" outlineLevel="1" x14ac:dyDescent="0.3">
      <c r="A131" s="363"/>
      <c r="B131" s="348"/>
      <c r="C131" s="2" t="s">
        <v>211</v>
      </c>
      <c r="D131" s="7" t="s">
        <v>216</v>
      </c>
      <c r="E131" s="3" t="s">
        <v>35</v>
      </c>
      <c r="F131" s="350" t="s">
        <v>30</v>
      </c>
      <c r="G131" s="354"/>
      <c r="H131" s="339" t="s">
        <v>3</v>
      </c>
      <c r="I131" s="12">
        <v>8728</v>
      </c>
      <c r="J131" s="1" t="str">
        <f t="shared" si="36"/>
        <v>SPT021DC/GGIO9.AnIn1</v>
      </c>
      <c r="K131" s="8" t="s">
        <v>78</v>
      </c>
      <c r="L131" s="9" t="s">
        <v>252</v>
      </c>
      <c r="M131" s="16" t="s">
        <v>51</v>
      </c>
      <c r="N131" s="26"/>
      <c r="O131" s="27"/>
      <c r="P131" s="49"/>
      <c r="Q131" s="28"/>
      <c r="R131" s="28"/>
      <c r="S131" s="60"/>
      <c r="T131" s="29"/>
      <c r="U131" s="30"/>
      <c r="V131" s="31"/>
      <c r="W131" s="28"/>
      <c r="X131" s="32"/>
      <c r="Y131" s="16"/>
      <c r="Z131" s="16"/>
    </row>
    <row r="132" spans="1:26" hidden="1" outlineLevel="1" x14ac:dyDescent="0.3">
      <c r="A132" s="363"/>
      <c r="B132" s="348"/>
      <c r="C132" s="2" t="s">
        <v>212</v>
      </c>
      <c r="D132" s="7" t="s">
        <v>213</v>
      </c>
      <c r="E132" s="3" t="s">
        <v>35</v>
      </c>
      <c r="F132" s="351"/>
      <c r="G132" s="354"/>
      <c r="H132" s="339"/>
      <c r="I132" s="12">
        <v>8730</v>
      </c>
      <c r="J132" s="1" t="str">
        <f t="shared" si="36"/>
        <v>SPT021DC/GGIO9.AnIn2</v>
      </c>
      <c r="K132" s="8" t="s">
        <v>78</v>
      </c>
      <c r="L132" s="9" t="s">
        <v>252</v>
      </c>
      <c r="M132" s="16" t="s">
        <v>52</v>
      </c>
      <c r="N132" s="26"/>
      <c r="O132" s="27"/>
      <c r="P132" s="49"/>
      <c r="Q132" s="28"/>
      <c r="R132" s="28"/>
      <c r="S132" s="60"/>
      <c r="T132" s="29"/>
      <c r="U132" s="30"/>
      <c r="V132" s="31"/>
      <c r="W132" s="28"/>
      <c r="X132" s="32"/>
      <c r="Y132" s="16"/>
      <c r="Z132" s="16"/>
    </row>
    <row r="133" spans="1:26" hidden="1" outlineLevel="1" x14ac:dyDescent="0.3">
      <c r="A133" s="363"/>
      <c r="B133" s="348"/>
      <c r="C133" s="2" t="s">
        <v>214</v>
      </c>
      <c r="D133" s="7" t="s">
        <v>215</v>
      </c>
      <c r="E133" s="3" t="s">
        <v>35</v>
      </c>
      <c r="F133" s="351"/>
      <c r="G133" s="355"/>
      <c r="H133" s="339"/>
      <c r="I133" s="12">
        <v>8732</v>
      </c>
      <c r="J133" s="1" t="str">
        <f t="shared" si="36"/>
        <v>SPT021DC/GGIO9.AnIn3</v>
      </c>
      <c r="K133" s="8" t="s">
        <v>78</v>
      </c>
      <c r="L133" s="9" t="s">
        <v>252</v>
      </c>
      <c r="M133" s="16" t="s">
        <v>53</v>
      </c>
      <c r="N133" s="26"/>
      <c r="O133" s="27"/>
      <c r="P133" s="49"/>
      <c r="Q133" s="28"/>
      <c r="R133" s="28"/>
      <c r="S133" s="60"/>
      <c r="T133" s="29"/>
      <c r="U133" s="30"/>
      <c r="V133" s="31"/>
      <c r="W133" s="28"/>
      <c r="X133" s="32"/>
      <c r="Y133" s="16"/>
      <c r="Z133" s="16"/>
    </row>
    <row r="134" spans="1:26" collapsed="1" x14ac:dyDescent="0.3">
      <c r="A134" s="384"/>
      <c r="B134" s="385"/>
      <c r="C134" s="385"/>
      <c r="D134" s="385"/>
      <c r="E134" s="385"/>
      <c r="F134" s="385"/>
      <c r="G134" s="385"/>
      <c r="H134" s="385"/>
      <c r="I134" s="385"/>
      <c r="J134" s="386"/>
      <c r="K134" s="8"/>
      <c r="N134" s="26"/>
      <c r="O134" s="27"/>
      <c r="P134" s="49"/>
      <c r="Q134" s="28"/>
      <c r="R134" s="28"/>
      <c r="S134" s="60"/>
      <c r="T134" s="29"/>
      <c r="U134" s="30"/>
      <c r="V134" s="31"/>
      <c r="W134" s="28"/>
      <c r="X134" s="32"/>
      <c r="Y134" s="16"/>
      <c r="Z134" s="16"/>
    </row>
    <row r="135" spans="1:26" s="16" customFormat="1" x14ac:dyDescent="0.3">
      <c r="A135" s="387" t="s">
        <v>286</v>
      </c>
      <c r="B135" s="387"/>
      <c r="C135" s="387"/>
      <c r="D135" s="387"/>
      <c r="E135" s="387"/>
      <c r="F135" s="387"/>
      <c r="G135" s="387"/>
      <c r="H135" s="387"/>
      <c r="I135" s="387"/>
      <c r="J135" s="387"/>
      <c r="K135" s="8"/>
      <c r="L135" s="9"/>
      <c r="M135"/>
      <c r="N135" s="26"/>
      <c r="O135" s="27"/>
      <c r="P135" s="49"/>
      <c r="Q135" s="28"/>
      <c r="R135" s="28"/>
      <c r="S135" s="60"/>
      <c r="T135" s="29"/>
      <c r="U135" s="30"/>
      <c r="V135" s="31"/>
      <c r="W135" s="28"/>
      <c r="X135" s="32"/>
    </row>
    <row r="136" spans="1:26" s="16" customFormat="1" hidden="1" outlineLevel="1" x14ac:dyDescent="0.3">
      <c r="A136" s="362">
        <v>28</v>
      </c>
      <c r="B136" s="347" t="s">
        <v>3</v>
      </c>
      <c r="C136" s="2" t="s">
        <v>32</v>
      </c>
      <c r="D136" s="7" t="s">
        <v>306</v>
      </c>
      <c r="E136" s="3" t="s">
        <v>4</v>
      </c>
      <c r="F136" s="350" t="s">
        <v>28</v>
      </c>
      <c r="G136" s="353" t="s">
        <v>330</v>
      </c>
      <c r="H136" s="339" t="s">
        <v>59</v>
      </c>
      <c r="I136" s="12">
        <v>4201</v>
      </c>
      <c r="J136" s="1" t="str">
        <f>IF(OR(D136="",D136="-"),"",CONCATENATE("SPT021",K136,"/",L136,".",M136))</f>
        <v>SPT021DC/GGIO10.Alm1</v>
      </c>
      <c r="K136" s="8" t="s">
        <v>78</v>
      </c>
      <c r="L136" s="9" t="s">
        <v>253</v>
      </c>
      <c r="M136" s="34" t="s">
        <v>37</v>
      </c>
      <c r="N136" s="26"/>
      <c r="O136" s="27"/>
      <c r="P136" s="49"/>
      <c r="Q136" s="28"/>
      <c r="R136" s="28"/>
      <c r="S136">
        <f t="shared" ref="S136:S138" si="37">I136-4095</f>
        <v>106</v>
      </c>
      <c r="T136" t="str">
        <f t="shared" ref="T136:T138" si="38">_xlfn.CONCAT($T$1,S136)</f>
        <v>lb_dd106</v>
      </c>
      <c r="U136" s="30"/>
      <c r="V136" s="31"/>
      <c r="W136" s="28"/>
      <c r="X136" s="32"/>
    </row>
    <row r="137" spans="1:26" s="16" customFormat="1" hidden="1" outlineLevel="1" x14ac:dyDescent="0.3">
      <c r="A137" s="363"/>
      <c r="B137" s="348"/>
      <c r="C137" s="2" t="s">
        <v>33</v>
      </c>
      <c r="D137" s="7" t="s">
        <v>307</v>
      </c>
      <c r="E137" s="3" t="s">
        <v>4</v>
      </c>
      <c r="F137" s="351"/>
      <c r="G137" s="354"/>
      <c r="H137" s="339"/>
      <c r="I137" s="12">
        <v>4202</v>
      </c>
      <c r="J137" s="1" t="str">
        <f t="shared" ref="J137:J141" si="39">IF(OR(D137="",D137="-"),"",CONCATENATE("SPT021",K137,"/",L137,".",M137))</f>
        <v>SPT021DC/GGIO10.Alm2</v>
      </c>
      <c r="K137" s="8" t="s">
        <v>78</v>
      </c>
      <c r="L137" s="9" t="s">
        <v>253</v>
      </c>
      <c r="M137" s="34" t="s">
        <v>39</v>
      </c>
      <c r="N137" s="26"/>
      <c r="O137" s="27"/>
      <c r="P137" s="49"/>
      <c r="Q137" s="28"/>
      <c r="R137" s="28"/>
      <c r="S137">
        <f t="shared" si="37"/>
        <v>107</v>
      </c>
      <c r="T137" t="str">
        <f t="shared" si="38"/>
        <v>lb_dd107</v>
      </c>
      <c r="U137" s="30"/>
      <c r="V137" s="31"/>
      <c r="W137" s="28"/>
      <c r="X137" s="32"/>
    </row>
    <row r="138" spans="1:26" s="16" customFormat="1" hidden="1" outlineLevel="1" x14ac:dyDescent="0.3">
      <c r="A138" s="363"/>
      <c r="B138" s="348"/>
      <c r="C138" s="2" t="s">
        <v>34</v>
      </c>
      <c r="D138" s="7" t="s">
        <v>308</v>
      </c>
      <c r="E138" s="3" t="s">
        <v>4</v>
      </c>
      <c r="F138" s="351"/>
      <c r="G138" s="354"/>
      <c r="H138" s="339"/>
      <c r="I138" s="12">
        <v>4203</v>
      </c>
      <c r="J138" s="1" t="str">
        <f t="shared" si="39"/>
        <v>SPT021DC/GGIO10.Alm3</v>
      </c>
      <c r="K138" s="8" t="s">
        <v>78</v>
      </c>
      <c r="L138" s="9" t="s">
        <v>253</v>
      </c>
      <c r="M138" s="34" t="s">
        <v>41</v>
      </c>
      <c r="N138" s="26"/>
      <c r="O138" s="27"/>
      <c r="P138" s="49"/>
      <c r="Q138" s="28"/>
      <c r="R138" s="28"/>
      <c r="S138">
        <f t="shared" si="37"/>
        <v>108</v>
      </c>
      <c r="T138" t="str">
        <f t="shared" si="38"/>
        <v>lb_dd108</v>
      </c>
      <c r="U138" s="30"/>
      <c r="V138" s="31"/>
      <c r="W138" s="28"/>
      <c r="X138" s="32"/>
    </row>
    <row r="139" spans="1:26" hidden="1" outlineLevel="1" x14ac:dyDescent="0.3">
      <c r="A139" s="363"/>
      <c r="B139" s="348"/>
      <c r="C139" s="2" t="s">
        <v>211</v>
      </c>
      <c r="D139" s="7" t="s">
        <v>216</v>
      </c>
      <c r="E139" s="3" t="s">
        <v>35</v>
      </c>
      <c r="F139" s="350" t="s">
        <v>30</v>
      </c>
      <c r="G139" s="354"/>
      <c r="H139" s="339" t="s">
        <v>3</v>
      </c>
      <c r="I139" s="12">
        <v>8740</v>
      </c>
      <c r="J139" s="1" t="str">
        <f t="shared" si="39"/>
        <v>SPT021DC/GGIO10.AnIn1</v>
      </c>
      <c r="K139" s="8" t="s">
        <v>78</v>
      </c>
      <c r="L139" s="9" t="s">
        <v>253</v>
      </c>
      <c r="M139" s="16" t="s">
        <v>51</v>
      </c>
      <c r="N139" s="26"/>
      <c r="O139" s="27"/>
      <c r="P139" s="49"/>
      <c r="Q139" s="28"/>
      <c r="R139" s="28"/>
      <c r="S139" s="60"/>
      <c r="T139" s="29"/>
      <c r="U139" s="30"/>
      <c r="V139" s="31"/>
      <c r="W139" s="28"/>
      <c r="X139" s="32"/>
      <c r="Y139" s="16"/>
      <c r="Z139" s="16"/>
    </row>
    <row r="140" spans="1:26" hidden="1" outlineLevel="1" x14ac:dyDescent="0.3">
      <c r="A140" s="363"/>
      <c r="B140" s="348"/>
      <c r="C140" s="2" t="s">
        <v>212</v>
      </c>
      <c r="D140" s="7" t="s">
        <v>213</v>
      </c>
      <c r="E140" s="3" t="s">
        <v>35</v>
      </c>
      <c r="F140" s="351"/>
      <c r="G140" s="354"/>
      <c r="H140" s="339"/>
      <c r="I140" s="12">
        <v>8742</v>
      </c>
      <c r="J140" s="1" t="str">
        <f t="shared" si="39"/>
        <v>SPT021DC/GGIO10.AnIn2</v>
      </c>
      <c r="K140" s="8" t="s">
        <v>78</v>
      </c>
      <c r="L140" s="9" t="s">
        <v>253</v>
      </c>
      <c r="M140" s="16" t="s">
        <v>52</v>
      </c>
      <c r="N140" s="26"/>
      <c r="O140" s="27"/>
      <c r="P140" s="49"/>
      <c r="Q140" s="28"/>
      <c r="R140" s="28"/>
      <c r="S140" s="60"/>
      <c r="T140" s="29"/>
      <c r="U140" s="30"/>
      <c r="V140" s="31"/>
      <c r="W140" s="28"/>
      <c r="X140" s="32"/>
      <c r="Y140" s="16"/>
      <c r="Z140" s="16"/>
    </row>
    <row r="141" spans="1:26" hidden="1" outlineLevel="1" x14ac:dyDescent="0.3">
      <c r="A141" s="363"/>
      <c r="B141" s="348"/>
      <c r="C141" s="53" t="s">
        <v>214</v>
      </c>
      <c r="D141" s="54" t="s">
        <v>215</v>
      </c>
      <c r="E141" s="55" t="s">
        <v>35</v>
      </c>
      <c r="F141" s="351"/>
      <c r="G141" s="355"/>
      <c r="H141" s="353"/>
      <c r="I141" s="56">
        <v>8744</v>
      </c>
      <c r="J141" s="1" t="str">
        <f t="shared" si="39"/>
        <v>SPT021DC/GGIO10.AnIn3</v>
      </c>
      <c r="K141" s="8" t="s">
        <v>78</v>
      </c>
      <c r="L141" s="9" t="s">
        <v>253</v>
      </c>
      <c r="M141" s="16" t="s">
        <v>53</v>
      </c>
      <c r="N141" s="26"/>
      <c r="O141" s="27"/>
      <c r="P141" s="49"/>
      <c r="Q141" s="28"/>
      <c r="R141" s="28"/>
      <c r="S141" s="60"/>
      <c r="T141" s="29"/>
      <c r="U141" s="30"/>
      <c r="V141" s="31"/>
      <c r="W141" s="28"/>
      <c r="X141" s="32"/>
      <c r="Y141" s="16"/>
      <c r="Z141" s="16"/>
    </row>
    <row r="142" spans="1:26" collapsed="1" x14ac:dyDescent="0.3">
      <c r="A142" s="372"/>
      <c r="B142" s="373"/>
      <c r="C142" s="373"/>
      <c r="D142" s="373"/>
      <c r="E142" s="373"/>
      <c r="F142" s="373"/>
      <c r="G142" s="373"/>
      <c r="H142" s="373"/>
      <c r="I142" s="373"/>
      <c r="J142" s="374"/>
    </row>
    <row r="143" spans="1:26" x14ac:dyDescent="0.3">
      <c r="A143" s="375" t="s">
        <v>314</v>
      </c>
      <c r="B143" s="376"/>
      <c r="C143" s="376"/>
      <c r="D143" s="376"/>
      <c r="E143" s="376"/>
      <c r="F143" s="376"/>
      <c r="G143" s="376"/>
      <c r="H143" s="376"/>
      <c r="I143" s="376"/>
      <c r="J143" s="377"/>
      <c r="K143" s="8"/>
      <c r="N143" s="378"/>
      <c r="O143" s="378"/>
      <c r="P143" s="378"/>
      <c r="Q143" s="378"/>
      <c r="R143" s="378"/>
      <c r="S143" s="378"/>
      <c r="T143" s="378"/>
      <c r="U143" s="378"/>
      <c r="V143" s="378"/>
      <c r="W143" s="378"/>
      <c r="X143" s="32"/>
    </row>
    <row r="144" spans="1:26" hidden="1" outlineLevel="1" x14ac:dyDescent="0.3">
      <c r="A144" s="379">
        <v>29</v>
      </c>
      <c r="B144" s="17" t="s">
        <v>3</v>
      </c>
      <c r="C144" s="3" t="s">
        <v>62</v>
      </c>
      <c r="D144" s="14" t="s">
        <v>79</v>
      </c>
      <c r="E144" s="3" t="s">
        <v>35</v>
      </c>
      <c r="F144" s="350" t="s">
        <v>30</v>
      </c>
      <c r="G144" s="353" t="s">
        <v>331</v>
      </c>
      <c r="H144" s="353" t="s">
        <v>3</v>
      </c>
      <c r="I144" s="12">
        <v>8752</v>
      </c>
      <c r="J144" s="1" t="str">
        <f>IF(OR(D144="",D144="-"),"",CONCATENATE("SPT021",K144,"/",L144,".",M144))</f>
        <v>SPT021DC/GGIO11.AnIn1</v>
      </c>
      <c r="K144" s="33" t="s">
        <v>78</v>
      </c>
      <c r="L144" s="44" t="s">
        <v>254</v>
      </c>
      <c r="M144" s="16" t="s">
        <v>51</v>
      </c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2"/>
    </row>
    <row r="145" spans="1:26" hidden="1" outlineLevel="1" x14ac:dyDescent="0.3">
      <c r="A145" s="380"/>
      <c r="B145" s="17" t="s">
        <v>3</v>
      </c>
      <c r="C145" s="3" t="s">
        <v>63</v>
      </c>
      <c r="D145" s="14" t="s">
        <v>67</v>
      </c>
      <c r="E145" s="3" t="s">
        <v>35</v>
      </c>
      <c r="F145" s="351"/>
      <c r="G145" s="354"/>
      <c r="H145" s="354"/>
      <c r="I145" s="12">
        <v>8758</v>
      </c>
      <c r="J145" s="1" t="str">
        <f t="shared" ref="J145:J156" si="40">IF(OR(D145="",D145="-"),"",CONCATENATE("SPT021",K145,"/",L145,".",M145))</f>
        <v>SPT021DC/GGIO11.AnIn2</v>
      </c>
      <c r="K145" s="33" t="s">
        <v>78</v>
      </c>
      <c r="L145" s="44" t="s">
        <v>254</v>
      </c>
      <c r="M145" s="16" t="s">
        <v>52</v>
      </c>
      <c r="N145" s="26"/>
      <c r="O145" s="27"/>
      <c r="P145" s="49"/>
      <c r="Q145" s="28"/>
      <c r="R145" s="28"/>
      <c r="S145" s="60"/>
      <c r="T145" s="29"/>
      <c r="U145" s="30"/>
      <c r="V145" s="31"/>
      <c r="W145" s="28"/>
      <c r="X145" s="32"/>
    </row>
    <row r="146" spans="1:26" hidden="1" outlineLevel="1" x14ac:dyDescent="0.3">
      <c r="A146" s="380"/>
      <c r="B146" s="17" t="s">
        <v>3</v>
      </c>
      <c r="C146" s="3" t="s">
        <v>64</v>
      </c>
      <c r="D146" s="14" t="s">
        <v>68</v>
      </c>
      <c r="E146" s="3" t="s">
        <v>35</v>
      </c>
      <c r="F146" s="351"/>
      <c r="G146" s="354"/>
      <c r="H146" s="354"/>
      <c r="I146" s="12">
        <v>8760</v>
      </c>
      <c r="J146" s="1" t="str">
        <f t="shared" si="40"/>
        <v>SPT021DC/GGIO11.AnIn3</v>
      </c>
      <c r="K146" s="33" t="s">
        <v>78</v>
      </c>
      <c r="L146" s="44" t="s">
        <v>254</v>
      </c>
      <c r="M146" s="16" t="s">
        <v>53</v>
      </c>
      <c r="N146" s="26"/>
      <c r="O146" s="27"/>
      <c r="P146" s="49"/>
      <c r="Q146" s="28"/>
      <c r="R146" s="28"/>
      <c r="S146" s="60"/>
      <c r="T146" s="29"/>
      <c r="U146" s="30"/>
      <c r="V146" s="31"/>
      <c r="W146" s="28"/>
      <c r="X146" s="32"/>
    </row>
    <row r="147" spans="1:26" hidden="1" outlineLevel="1" x14ac:dyDescent="0.3">
      <c r="A147" s="380"/>
      <c r="B147" s="17" t="s">
        <v>3</v>
      </c>
      <c r="C147" s="3" t="s">
        <v>65</v>
      </c>
      <c r="D147" s="14" t="s">
        <v>69</v>
      </c>
      <c r="E147" s="3" t="s">
        <v>35</v>
      </c>
      <c r="F147" s="351"/>
      <c r="G147" s="354"/>
      <c r="H147" s="354"/>
      <c r="I147" s="12">
        <v>8764</v>
      </c>
      <c r="J147" s="1" t="str">
        <f t="shared" si="40"/>
        <v>SPT021DC/GGIO11.AnIn4</v>
      </c>
      <c r="K147" s="33" t="s">
        <v>78</v>
      </c>
      <c r="L147" s="44" t="s">
        <v>254</v>
      </c>
      <c r="M147" s="16" t="s">
        <v>54</v>
      </c>
      <c r="N147" s="26"/>
      <c r="O147" s="27"/>
      <c r="P147" s="49"/>
      <c r="Q147" s="28"/>
      <c r="R147" s="28"/>
      <c r="S147" s="60"/>
      <c r="T147" s="29"/>
      <c r="U147" s="30"/>
      <c r="V147" s="31"/>
      <c r="W147" s="28"/>
      <c r="X147" s="32"/>
    </row>
    <row r="148" spans="1:26" hidden="1" outlineLevel="1" x14ac:dyDescent="0.3">
      <c r="A148" s="380"/>
      <c r="B148" s="17" t="s">
        <v>3</v>
      </c>
      <c r="C148" s="3" t="s">
        <v>66</v>
      </c>
      <c r="D148" s="14" t="s">
        <v>70</v>
      </c>
      <c r="E148" s="3" t="s">
        <v>35</v>
      </c>
      <c r="F148" s="351"/>
      <c r="G148" s="354"/>
      <c r="H148" s="354"/>
      <c r="I148" s="12">
        <v>8766</v>
      </c>
      <c r="J148" s="1" t="str">
        <f t="shared" si="40"/>
        <v>SPT021DC/GGIO11.AnIn5</v>
      </c>
      <c r="K148" s="33" t="s">
        <v>78</v>
      </c>
      <c r="L148" s="44" t="s">
        <v>254</v>
      </c>
      <c r="M148" s="16" t="s">
        <v>77</v>
      </c>
      <c r="N148" s="26"/>
      <c r="O148" s="27"/>
      <c r="P148" s="49"/>
      <c r="Q148" s="28"/>
      <c r="R148" s="28"/>
      <c r="S148" s="60"/>
      <c r="T148" s="29"/>
      <c r="U148" s="30"/>
      <c r="V148" s="31"/>
      <c r="W148" s="28"/>
      <c r="X148" s="32"/>
    </row>
    <row r="149" spans="1:26" hidden="1" outlineLevel="1" x14ac:dyDescent="0.3">
      <c r="A149" s="380"/>
      <c r="B149" s="17" t="s">
        <v>3</v>
      </c>
      <c r="C149" s="3" t="s">
        <v>82</v>
      </c>
      <c r="D149" s="14" t="s">
        <v>81</v>
      </c>
      <c r="E149" s="3" t="s">
        <v>4</v>
      </c>
      <c r="F149" s="382" t="s">
        <v>28</v>
      </c>
      <c r="G149" s="354"/>
      <c r="H149" s="353" t="s">
        <v>59</v>
      </c>
      <c r="I149" s="12">
        <v>4208</v>
      </c>
      <c r="J149" s="1" t="str">
        <f t="shared" si="40"/>
        <v>SPT021DC/GGIO11.Alm1</v>
      </c>
      <c r="K149" s="33" t="s">
        <v>78</v>
      </c>
      <c r="L149" s="44" t="s">
        <v>254</v>
      </c>
      <c r="M149" s="34" t="s">
        <v>37</v>
      </c>
      <c r="N149" s="26"/>
      <c r="O149" s="27"/>
      <c r="P149" s="49"/>
      <c r="Q149" s="28"/>
      <c r="R149" s="28"/>
      <c r="S149">
        <f t="shared" ref="S149:S156" si="41">I149-4095</f>
        <v>113</v>
      </c>
      <c r="T149" t="str">
        <f t="shared" ref="T149:T156" si="42">_xlfn.CONCAT($T$1,S149)</f>
        <v>lb_dd113</v>
      </c>
      <c r="U149" s="30"/>
      <c r="V149" s="31"/>
      <c r="W149" s="28"/>
      <c r="X149" s="32"/>
    </row>
    <row r="150" spans="1:26" hidden="1" outlineLevel="1" x14ac:dyDescent="0.3">
      <c r="A150" s="380"/>
      <c r="B150" s="17" t="s">
        <v>3</v>
      </c>
      <c r="C150" s="3" t="s">
        <v>80</v>
      </c>
      <c r="D150" s="14" t="s">
        <v>83</v>
      </c>
      <c r="E150" s="3" t="s">
        <v>4</v>
      </c>
      <c r="F150" s="383"/>
      <c r="G150" s="354"/>
      <c r="H150" s="354"/>
      <c r="I150" s="12">
        <v>4209</v>
      </c>
      <c r="J150" s="1" t="str">
        <f t="shared" si="40"/>
        <v>SPT021DC/GGIO11.Alm2</v>
      </c>
      <c r="K150" s="33" t="s">
        <v>78</v>
      </c>
      <c r="L150" s="44" t="s">
        <v>254</v>
      </c>
      <c r="M150" s="34" t="s">
        <v>39</v>
      </c>
      <c r="N150" s="26"/>
      <c r="O150" s="27"/>
      <c r="P150" s="49"/>
      <c r="Q150" s="28"/>
      <c r="R150" s="28"/>
      <c r="S150">
        <f t="shared" si="41"/>
        <v>114</v>
      </c>
      <c r="T150" t="str">
        <f t="shared" si="42"/>
        <v>lb_dd114</v>
      </c>
      <c r="U150" s="30"/>
      <c r="V150" s="31"/>
      <c r="W150" s="28"/>
      <c r="X150" s="32"/>
    </row>
    <row r="151" spans="1:26" hidden="1" outlineLevel="1" x14ac:dyDescent="0.3">
      <c r="A151" s="380"/>
      <c r="B151" s="17" t="s">
        <v>3</v>
      </c>
      <c r="C151" s="3" t="s">
        <v>71</v>
      </c>
      <c r="D151" s="14" t="s">
        <v>74</v>
      </c>
      <c r="E151" s="3" t="s">
        <v>4</v>
      </c>
      <c r="F151" s="383"/>
      <c r="G151" s="354"/>
      <c r="H151" s="354"/>
      <c r="I151" s="12">
        <v>4211</v>
      </c>
      <c r="J151" s="1" t="str">
        <f t="shared" si="40"/>
        <v>SPT021DC/GGIO11.Alm3</v>
      </c>
      <c r="K151" s="33" t="s">
        <v>78</v>
      </c>
      <c r="L151" s="44" t="s">
        <v>254</v>
      </c>
      <c r="M151" s="34" t="s">
        <v>41</v>
      </c>
      <c r="N151" s="26"/>
      <c r="O151" s="27"/>
      <c r="P151" s="49"/>
      <c r="Q151" s="28"/>
      <c r="R151" s="28"/>
      <c r="S151">
        <f t="shared" si="41"/>
        <v>116</v>
      </c>
      <c r="T151" t="str">
        <f t="shared" si="42"/>
        <v>lb_dd116</v>
      </c>
      <c r="U151" s="30"/>
      <c r="V151" s="31"/>
      <c r="W151" s="28"/>
      <c r="X151" s="32"/>
      <c r="Z151" s="9"/>
    </row>
    <row r="152" spans="1:26" hidden="1" outlineLevel="1" x14ac:dyDescent="0.3">
      <c r="A152" s="380"/>
      <c r="B152" s="17" t="s">
        <v>3</v>
      </c>
      <c r="C152" s="3" t="s">
        <v>84</v>
      </c>
      <c r="D152" s="14" t="s">
        <v>91</v>
      </c>
      <c r="E152" s="3" t="s">
        <v>4</v>
      </c>
      <c r="F152" s="383"/>
      <c r="G152" s="354"/>
      <c r="H152" s="354"/>
      <c r="I152" s="12">
        <v>4212</v>
      </c>
      <c r="J152" s="1" t="str">
        <f t="shared" si="40"/>
        <v>SPT021DC/GGIO11.Alm4</v>
      </c>
      <c r="K152" s="33" t="s">
        <v>78</v>
      </c>
      <c r="L152" s="44" t="s">
        <v>254</v>
      </c>
      <c r="M152" s="34" t="s">
        <v>43</v>
      </c>
      <c r="N152" s="26"/>
      <c r="O152" s="27"/>
      <c r="P152" s="49"/>
      <c r="Q152" s="28"/>
      <c r="R152" s="28"/>
      <c r="S152">
        <f t="shared" si="41"/>
        <v>117</v>
      </c>
      <c r="T152" t="str">
        <f t="shared" si="42"/>
        <v>lb_dd117</v>
      </c>
      <c r="U152" s="30"/>
      <c r="V152" s="31"/>
      <c r="W152" s="28"/>
      <c r="X152" s="32"/>
      <c r="Z152" s="9"/>
    </row>
    <row r="153" spans="1:26" hidden="1" outlineLevel="1" x14ac:dyDescent="0.3">
      <c r="A153" s="380"/>
      <c r="B153" s="17" t="s">
        <v>3</v>
      </c>
      <c r="C153" s="15" t="s">
        <v>85</v>
      </c>
      <c r="D153" s="14" t="s">
        <v>87</v>
      </c>
      <c r="E153" s="14" t="s">
        <v>4</v>
      </c>
      <c r="F153" s="383"/>
      <c r="G153" s="354"/>
      <c r="H153" s="354"/>
      <c r="I153" s="12">
        <v>4217</v>
      </c>
      <c r="J153" s="1" t="str">
        <f t="shared" si="40"/>
        <v>SPT021DC/GGIO11.Alm5</v>
      </c>
      <c r="K153" s="33" t="s">
        <v>78</v>
      </c>
      <c r="L153" s="44" t="s">
        <v>254</v>
      </c>
      <c r="M153" s="34" t="s">
        <v>45</v>
      </c>
      <c r="N153" s="26"/>
      <c r="O153" s="27"/>
      <c r="P153" s="49"/>
      <c r="Q153" s="28"/>
      <c r="R153" s="28"/>
      <c r="S153">
        <f t="shared" si="41"/>
        <v>122</v>
      </c>
      <c r="T153" t="str">
        <f t="shared" si="42"/>
        <v>lb_dd122</v>
      </c>
      <c r="U153" s="30"/>
      <c r="V153" s="31"/>
      <c r="W153" s="28"/>
      <c r="X153" s="32"/>
      <c r="Z153" s="9"/>
    </row>
    <row r="154" spans="1:26" hidden="1" outlineLevel="1" x14ac:dyDescent="0.3">
      <c r="A154" s="380"/>
      <c r="B154" s="17" t="s">
        <v>3</v>
      </c>
      <c r="C154" s="15" t="s">
        <v>86</v>
      </c>
      <c r="D154" s="14" t="s">
        <v>88</v>
      </c>
      <c r="E154" s="14" t="s">
        <v>4</v>
      </c>
      <c r="F154" s="383"/>
      <c r="G154" s="354"/>
      <c r="H154" s="354"/>
      <c r="I154" s="12">
        <v>4218</v>
      </c>
      <c r="J154" s="1" t="str">
        <f t="shared" si="40"/>
        <v>SPT021DC/GGIO11.Alm6</v>
      </c>
      <c r="K154" s="33" t="s">
        <v>78</v>
      </c>
      <c r="L154" s="44" t="s">
        <v>254</v>
      </c>
      <c r="M154" s="34" t="s">
        <v>47</v>
      </c>
      <c r="N154" s="26"/>
      <c r="O154" s="27"/>
      <c r="P154" s="49"/>
      <c r="Q154" s="28"/>
      <c r="R154" s="28"/>
      <c r="S154">
        <f t="shared" si="41"/>
        <v>123</v>
      </c>
      <c r="T154" t="str">
        <f t="shared" si="42"/>
        <v>lb_dd123</v>
      </c>
      <c r="U154" s="30"/>
      <c r="V154" s="31"/>
      <c r="W154" s="28"/>
      <c r="X154" s="32"/>
      <c r="Z154" s="9"/>
    </row>
    <row r="155" spans="1:26" hidden="1" outlineLevel="1" x14ac:dyDescent="0.3">
      <c r="A155" s="380"/>
      <c r="B155" s="17" t="s">
        <v>3</v>
      </c>
      <c r="C155" s="15" t="s">
        <v>72</v>
      </c>
      <c r="D155" s="19" t="s">
        <v>75</v>
      </c>
      <c r="E155" s="14" t="s">
        <v>4</v>
      </c>
      <c r="F155" s="383"/>
      <c r="G155" s="354"/>
      <c r="H155" s="354"/>
      <c r="I155" s="12">
        <v>4220</v>
      </c>
      <c r="J155" s="1" t="str">
        <f t="shared" si="40"/>
        <v>SPT021DC/GGIO11.Alm7</v>
      </c>
      <c r="K155" s="33" t="s">
        <v>78</v>
      </c>
      <c r="L155" s="44" t="s">
        <v>254</v>
      </c>
      <c r="M155" s="34" t="s">
        <v>49</v>
      </c>
      <c r="N155" s="26"/>
      <c r="O155" s="27"/>
      <c r="P155" s="49"/>
      <c r="Q155" s="28"/>
      <c r="R155" s="28"/>
      <c r="S155">
        <f t="shared" si="41"/>
        <v>125</v>
      </c>
      <c r="T155" t="str">
        <f t="shared" si="42"/>
        <v>lb_dd125</v>
      </c>
      <c r="U155" s="30"/>
      <c r="V155" s="31"/>
      <c r="W155" s="28"/>
      <c r="X155" s="32"/>
      <c r="Z155" s="9"/>
    </row>
    <row r="156" spans="1:26" hidden="1" outlineLevel="1" x14ac:dyDescent="0.3">
      <c r="A156" s="380"/>
      <c r="B156" s="17" t="s">
        <v>3</v>
      </c>
      <c r="C156" s="15" t="s">
        <v>90</v>
      </c>
      <c r="D156" s="19" t="s">
        <v>89</v>
      </c>
      <c r="E156" s="14" t="s">
        <v>4</v>
      </c>
      <c r="F156" s="383"/>
      <c r="G156" s="355"/>
      <c r="H156" s="354"/>
      <c r="I156" s="12">
        <v>4221</v>
      </c>
      <c r="J156" s="1" t="str">
        <f t="shared" si="40"/>
        <v>SPT021DC/GGIO11.Alm8</v>
      </c>
      <c r="K156" s="33" t="s">
        <v>78</v>
      </c>
      <c r="L156" s="44" t="s">
        <v>254</v>
      </c>
      <c r="M156" s="34" t="s">
        <v>56</v>
      </c>
      <c r="N156" s="26"/>
      <c r="O156" s="27"/>
      <c r="P156" s="49"/>
      <c r="Q156" s="28"/>
      <c r="R156" s="28"/>
      <c r="S156">
        <f t="shared" si="41"/>
        <v>126</v>
      </c>
      <c r="T156" t="str">
        <f t="shared" si="42"/>
        <v>lb_dd126</v>
      </c>
      <c r="U156" s="30"/>
      <c r="V156" s="31"/>
      <c r="W156" s="28"/>
      <c r="X156" s="32"/>
      <c r="Z156" s="9"/>
    </row>
    <row r="157" spans="1:26" collapsed="1" x14ac:dyDescent="0.3">
      <c r="A157" s="346"/>
      <c r="B157" s="346"/>
      <c r="C157" s="346"/>
      <c r="D157" s="346"/>
      <c r="E157" s="346"/>
      <c r="F157" s="346"/>
      <c r="G157" s="346"/>
      <c r="H157" s="346"/>
      <c r="I157" s="346"/>
      <c r="J157" s="346"/>
      <c r="K157" s="8"/>
      <c r="M157" s="16"/>
      <c r="N157" s="26"/>
      <c r="O157" s="27"/>
      <c r="P157" s="49"/>
      <c r="Q157" s="28"/>
      <c r="R157" s="28"/>
      <c r="S157" s="60"/>
      <c r="T157" s="29"/>
      <c r="U157" s="30"/>
      <c r="V157" s="31"/>
      <c r="W157" s="28"/>
      <c r="X157" s="32"/>
      <c r="Y157" s="16"/>
      <c r="Z157" s="16"/>
    </row>
    <row r="158" spans="1:26" s="16" customFormat="1" ht="15" customHeight="1" x14ac:dyDescent="0.3">
      <c r="A158" s="365" t="s">
        <v>310</v>
      </c>
      <c r="B158" s="366"/>
      <c r="C158" s="366"/>
      <c r="D158" s="366"/>
      <c r="E158" s="366"/>
      <c r="F158" s="366"/>
      <c r="G158" s="366"/>
      <c r="H158" s="366"/>
      <c r="I158" s="366"/>
      <c r="J158" s="367"/>
      <c r="K158" s="33"/>
      <c r="L158" s="44"/>
      <c r="P158" s="51"/>
    </row>
    <row r="159" spans="1:26" s="16" customFormat="1" ht="15" hidden="1" customHeight="1" outlineLevel="1" x14ac:dyDescent="0.3">
      <c r="A159" s="67">
        <v>16</v>
      </c>
      <c r="B159" s="371" t="s">
        <v>3</v>
      </c>
      <c r="C159" s="64" t="s">
        <v>16</v>
      </c>
      <c r="D159" s="18" t="s">
        <v>332</v>
      </c>
      <c r="E159" s="3" t="s">
        <v>35</v>
      </c>
      <c r="F159" s="35" t="s">
        <v>30</v>
      </c>
      <c r="G159" s="353" t="s">
        <v>329</v>
      </c>
      <c r="H159" s="353" t="s">
        <v>3</v>
      </c>
      <c r="I159" s="12">
        <v>8774</v>
      </c>
      <c r="J159" s="18" t="str">
        <f>IF(OR(D159="",D159="-"),"",CONCATENATE("SPT021",K159,"/",L159,".",M159))</f>
        <v>SPT021DC/MMXN1.Vol</v>
      </c>
      <c r="K159" s="36" t="s">
        <v>78</v>
      </c>
      <c r="L159" s="37" t="s">
        <v>256</v>
      </c>
      <c r="M159" s="16" t="s">
        <v>267</v>
      </c>
      <c r="O159" s="16" t="s">
        <v>73</v>
      </c>
      <c r="P159" s="51"/>
    </row>
    <row r="160" spans="1:26" s="16" customFormat="1" ht="15" hidden="1" customHeight="1" outlineLevel="1" x14ac:dyDescent="0.3">
      <c r="A160" s="67">
        <v>17</v>
      </c>
      <c r="B160" s="371"/>
      <c r="C160" s="64" t="s">
        <v>16</v>
      </c>
      <c r="D160" s="18" t="s">
        <v>333</v>
      </c>
      <c r="E160" s="3" t="s">
        <v>35</v>
      </c>
      <c r="F160" s="35" t="s">
        <v>30</v>
      </c>
      <c r="G160" s="354"/>
      <c r="H160" s="354"/>
      <c r="I160" s="12">
        <v>8776</v>
      </c>
      <c r="J160" s="18" t="str">
        <f t="shared" ref="J160:J162" si="43">IF(OR(D160="",D160="-"),"",CONCATENATE("SPT021",K160,"/",L160,".",M160))</f>
        <v>SPT021DC/MMXN2.Vol</v>
      </c>
      <c r="K160" s="36" t="s">
        <v>78</v>
      </c>
      <c r="L160" s="37" t="s">
        <v>257</v>
      </c>
      <c r="M160" s="16" t="s">
        <v>267</v>
      </c>
      <c r="O160" s="16" t="s">
        <v>73</v>
      </c>
      <c r="P160" s="51"/>
    </row>
    <row r="161" spans="1:24" s="16" customFormat="1" ht="15" hidden="1" customHeight="1" outlineLevel="1" x14ac:dyDescent="0.3">
      <c r="A161" s="67">
        <v>18</v>
      </c>
      <c r="B161" s="371"/>
      <c r="C161" s="64" t="s">
        <v>16</v>
      </c>
      <c r="D161" s="18" t="s">
        <v>334</v>
      </c>
      <c r="E161" s="3" t="s">
        <v>35</v>
      </c>
      <c r="F161" s="35" t="s">
        <v>30</v>
      </c>
      <c r="G161" s="354"/>
      <c r="H161" s="354"/>
      <c r="I161" s="12">
        <v>8778</v>
      </c>
      <c r="J161" s="18" t="str">
        <f t="shared" si="43"/>
        <v>SPT021DC/MMXN3.Vol</v>
      </c>
      <c r="K161" s="36" t="s">
        <v>78</v>
      </c>
      <c r="L161" s="37" t="s">
        <v>258</v>
      </c>
      <c r="M161" s="16" t="s">
        <v>267</v>
      </c>
      <c r="O161" s="16" t="s">
        <v>73</v>
      </c>
      <c r="P161" s="51"/>
    </row>
    <row r="162" spans="1:24" s="16" customFormat="1" ht="15" hidden="1" customHeight="1" outlineLevel="1" x14ac:dyDescent="0.3">
      <c r="A162" s="67">
        <v>19</v>
      </c>
      <c r="B162" s="371"/>
      <c r="C162" s="64" t="s">
        <v>16</v>
      </c>
      <c r="D162" s="18" t="s">
        <v>335</v>
      </c>
      <c r="E162" s="3" t="s">
        <v>35</v>
      </c>
      <c r="F162" s="35" t="s">
        <v>30</v>
      </c>
      <c r="G162" s="355"/>
      <c r="H162" s="355"/>
      <c r="I162" s="12">
        <v>8780</v>
      </c>
      <c r="J162" s="18" t="str">
        <f t="shared" si="43"/>
        <v>SPT021DC/MMXN4.Vol</v>
      </c>
      <c r="K162" s="36" t="s">
        <v>78</v>
      </c>
      <c r="L162" s="37" t="s">
        <v>259</v>
      </c>
      <c r="M162" s="16" t="s">
        <v>267</v>
      </c>
      <c r="O162" s="16" t="s">
        <v>73</v>
      </c>
      <c r="P162" s="51"/>
    </row>
    <row r="163" spans="1:24" s="16" customFormat="1" ht="15" customHeight="1" collapsed="1" x14ac:dyDescent="0.3">
      <c r="A163" s="368"/>
      <c r="B163" s="369"/>
      <c r="C163" s="369"/>
      <c r="D163" s="369"/>
      <c r="E163" s="369"/>
      <c r="F163" s="369"/>
      <c r="G163" s="369"/>
      <c r="H163" s="369"/>
      <c r="I163" s="369"/>
      <c r="J163" s="370"/>
      <c r="K163" s="36"/>
      <c r="L163" s="44"/>
      <c r="P163" s="51"/>
    </row>
    <row r="164" spans="1:24" s="16" customFormat="1" ht="15" customHeight="1" x14ac:dyDescent="0.3">
      <c r="A164" s="365" t="s">
        <v>289</v>
      </c>
      <c r="B164" s="366"/>
      <c r="C164" s="366"/>
      <c r="D164" s="366"/>
      <c r="E164" s="366"/>
      <c r="F164" s="366"/>
      <c r="G164" s="366"/>
      <c r="H164" s="366"/>
      <c r="I164" s="366"/>
      <c r="J164" s="367"/>
      <c r="K164" s="33"/>
      <c r="L164" s="44"/>
      <c r="P164" s="51"/>
    </row>
    <row r="165" spans="1:24" s="16" customFormat="1" ht="15" hidden="1" customHeight="1" outlineLevel="1" x14ac:dyDescent="0.3">
      <c r="A165" s="62">
        <v>30</v>
      </c>
      <c r="B165" s="350" t="s">
        <v>3</v>
      </c>
      <c r="C165" s="64" t="s">
        <v>31</v>
      </c>
      <c r="D165" s="38" t="s">
        <v>336</v>
      </c>
      <c r="E165" s="3" t="s">
        <v>35</v>
      </c>
      <c r="F165" s="35" t="s">
        <v>30</v>
      </c>
      <c r="G165" s="353" t="s">
        <v>330</v>
      </c>
      <c r="H165" s="353" t="s">
        <v>3</v>
      </c>
      <c r="I165" s="12">
        <v>8782</v>
      </c>
      <c r="J165" s="18" t="str">
        <f>IF(OR(D165="",D165="-"),"",CONCATENATE("SPT021",K165,"/",L165,".",M165))</f>
        <v>SPT021DC/MMXN5.Amp</v>
      </c>
      <c r="K165" s="36" t="s">
        <v>78</v>
      </c>
      <c r="L165" s="37" t="s">
        <v>260</v>
      </c>
      <c r="M165" s="37" t="s">
        <v>268</v>
      </c>
      <c r="P165" s="51"/>
    </row>
    <row r="166" spans="1:24" s="16" customFormat="1" ht="15" hidden="1" customHeight="1" outlineLevel="1" x14ac:dyDescent="0.3">
      <c r="A166" s="67">
        <v>31</v>
      </c>
      <c r="B166" s="351"/>
      <c r="C166" s="64" t="s">
        <v>16</v>
      </c>
      <c r="D166" s="18" t="s">
        <v>337</v>
      </c>
      <c r="E166" s="3" t="s">
        <v>35</v>
      </c>
      <c r="F166" s="35" t="s">
        <v>30</v>
      </c>
      <c r="G166" s="355"/>
      <c r="H166" s="354"/>
      <c r="I166" s="12">
        <v>8784</v>
      </c>
      <c r="J166" s="18" t="str">
        <f>IF(OR(D166="",D166="-"),"",CONCATENATE("SPT021",K166,"/",L166,".",M166))</f>
        <v>SPT021DC/MMXN6.Vol</v>
      </c>
      <c r="K166" s="36" t="s">
        <v>78</v>
      </c>
      <c r="L166" s="37" t="s">
        <v>261</v>
      </c>
      <c r="M166" s="16" t="s">
        <v>267</v>
      </c>
      <c r="O166" s="16" t="s">
        <v>73</v>
      </c>
      <c r="P166" s="51"/>
    </row>
    <row r="167" spans="1:24" s="16" customFormat="1" ht="15" customHeight="1" collapsed="1" x14ac:dyDescent="0.3">
      <c r="A167" s="368"/>
      <c r="B167" s="369"/>
      <c r="C167" s="369"/>
      <c r="D167" s="369"/>
      <c r="E167" s="369"/>
      <c r="F167" s="369"/>
      <c r="G167" s="369"/>
      <c r="H167" s="369"/>
      <c r="I167" s="369"/>
      <c r="J167" s="370"/>
      <c r="K167" s="36"/>
      <c r="L167" s="44"/>
      <c r="P167" s="51"/>
    </row>
    <row r="168" spans="1:24" s="16" customFormat="1" ht="15" customHeight="1" x14ac:dyDescent="0.3">
      <c r="A168" s="365" t="s">
        <v>315</v>
      </c>
      <c r="B168" s="366"/>
      <c r="C168" s="366"/>
      <c r="D168" s="366"/>
      <c r="E168" s="366"/>
      <c r="F168" s="366"/>
      <c r="G168" s="366"/>
      <c r="H168" s="366"/>
      <c r="I168" s="366"/>
      <c r="J168" s="367"/>
      <c r="K168" s="33"/>
      <c r="L168" s="44"/>
      <c r="P168" s="51"/>
    </row>
    <row r="169" spans="1:24" s="42" customFormat="1" ht="15" hidden="1" customHeight="1" outlineLevel="1" x14ac:dyDescent="0.3">
      <c r="A169" s="62">
        <v>21</v>
      </c>
      <c r="B169" s="57" t="s">
        <v>3</v>
      </c>
      <c r="C169" s="64" t="s">
        <v>211</v>
      </c>
      <c r="D169" s="38" t="s">
        <v>309</v>
      </c>
      <c r="E169" s="3" t="s">
        <v>35</v>
      </c>
      <c r="F169" s="35" t="s">
        <v>30</v>
      </c>
      <c r="G169" s="61" t="s">
        <v>330</v>
      </c>
      <c r="H169" s="39" t="s">
        <v>3</v>
      </c>
      <c r="I169" s="12">
        <v>8786</v>
      </c>
      <c r="J169" s="18" t="str">
        <f>IF(OR(D169="",D169="-"),"",CONCATENATE("SPT021",K169,"/",L169,".",M169))</f>
        <v>SPT021DC/GGIO12.AnIn1</v>
      </c>
      <c r="K169" s="40" t="s">
        <v>78</v>
      </c>
      <c r="L169" s="41" t="s">
        <v>255</v>
      </c>
      <c r="M169" s="41" t="s">
        <v>51</v>
      </c>
      <c r="P169" s="52"/>
    </row>
    <row r="170" spans="1:24" s="42" customFormat="1" ht="15" hidden="1" customHeight="1" outlineLevel="1" x14ac:dyDescent="0.3">
      <c r="A170" s="359"/>
      <c r="B170" s="360"/>
      <c r="C170" s="360"/>
      <c r="D170" s="360"/>
      <c r="E170" s="360"/>
      <c r="F170" s="360"/>
      <c r="G170" s="360"/>
      <c r="H170" s="360"/>
      <c r="I170" s="360"/>
      <c r="J170" s="361"/>
      <c r="K170" s="40"/>
      <c r="L170" s="41"/>
      <c r="M170" s="41"/>
      <c r="P170" s="52"/>
    </row>
    <row r="171" spans="1:24" s="42" customFormat="1" ht="15" customHeight="1" collapsed="1" x14ac:dyDescent="0.3">
      <c r="A171" s="359"/>
      <c r="B171" s="360"/>
      <c r="C171" s="360"/>
      <c r="D171" s="360"/>
      <c r="E171" s="360"/>
      <c r="F171" s="360"/>
      <c r="G171" s="360"/>
      <c r="H171" s="360"/>
      <c r="I171" s="360"/>
      <c r="J171" s="361"/>
      <c r="K171" s="40"/>
      <c r="L171" s="41"/>
      <c r="M171" s="41"/>
      <c r="P171" s="52"/>
    </row>
    <row r="172" spans="1:24" x14ac:dyDescent="0.3">
      <c r="A172" s="345" t="s">
        <v>239</v>
      </c>
      <c r="B172" s="345"/>
      <c r="C172" s="345"/>
      <c r="D172" s="345"/>
      <c r="E172" s="345"/>
      <c r="F172" s="345"/>
      <c r="G172" s="345"/>
      <c r="H172" s="345"/>
      <c r="I172" s="345"/>
      <c r="J172" s="345"/>
    </row>
    <row r="173" spans="1:24" hidden="1" outlineLevel="1" x14ac:dyDescent="0.3">
      <c r="A173" s="362">
        <v>1</v>
      </c>
      <c r="B173" s="347" t="s">
        <v>3</v>
      </c>
      <c r="C173" s="20" t="s">
        <v>103</v>
      </c>
      <c r="D173" s="20" t="s">
        <v>115</v>
      </c>
      <c r="E173" s="21" t="s">
        <v>2</v>
      </c>
      <c r="F173" s="350" t="s">
        <v>28</v>
      </c>
      <c r="G173" s="353" t="s">
        <v>338</v>
      </c>
      <c r="H173" s="356" t="s">
        <v>59</v>
      </c>
      <c r="I173" s="22">
        <v>4229</v>
      </c>
      <c r="J173" s="18" t="str">
        <f>IF(OR(D173="",D173="-"),"",CONCATENATE("SPT021",K173,"/",L173,".",M173))</f>
        <v>SPT021UG1/GGIO1.Ind1</v>
      </c>
      <c r="K173" s="23" t="s">
        <v>92</v>
      </c>
      <c r="L173" s="9" t="s">
        <v>244</v>
      </c>
      <c r="M173" t="s">
        <v>36</v>
      </c>
      <c r="S173">
        <f t="shared" ref="S173:S222" si="44">I173-4095</f>
        <v>134</v>
      </c>
      <c r="T173" t="str">
        <f t="shared" ref="T173:T222" si="45">_xlfn.CONCAT($T$1,S173)</f>
        <v>lb_dd134</v>
      </c>
      <c r="X173">
        <v>1</v>
      </c>
    </row>
    <row r="174" spans="1:24" hidden="1" outlineLevel="1" x14ac:dyDescent="0.3">
      <c r="A174" s="363"/>
      <c r="B174" s="348"/>
      <c r="C174" s="7" t="s">
        <v>104</v>
      </c>
      <c r="D174" s="7" t="s">
        <v>116</v>
      </c>
      <c r="E174" s="21" t="s">
        <v>2</v>
      </c>
      <c r="F174" s="351"/>
      <c r="G174" s="354"/>
      <c r="H174" s="357"/>
      <c r="I174" s="12">
        <v>4230</v>
      </c>
      <c r="J174" s="18" t="str">
        <f t="shared" ref="J174:J227" si="46">IF(OR(D174="",D174="-"),"",CONCATENATE("SPT021",K174,"/",L174,".",M174))</f>
        <v>SPT021UG1/GGIO1.Ind2</v>
      </c>
      <c r="K174" s="23" t="s">
        <v>92</v>
      </c>
      <c r="L174" s="9" t="s">
        <v>244</v>
      </c>
      <c r="M174" t="s">
        <v>38</v>
      </c>
      <c r="S174">
        <f t="shared" si="44"/>
        <v>135</v>
      </c>
      <c r="T174" t="str">
        <f t="shared" si="45"/>
        <v>lb_dd135</v>
      </c>
      <c r="X174">
        <v>2</v>
      </c>
    </row>
    <row r="175" spans="1:24" hidden="1" outlineLevel="1" x14ac:dyDescent="0.3">
      <c r="A175" s="363"/>
      <c r="B175" s="348"/>
      <c r="C175" s="7" t="s">
        <v>105</v>
      </c>
      <c r="D175" s="7" t="s">
        <v>117</v>
      </c>
      <c r="E175" s="21" t="s">
        <v>2</v>
      </c>
      <c r="F175" s="351"/>
      <c r="G175" s="354"/>
      <c r="H175" s="357"/>
      <c r="I175" s="12">
        <v>4231</v>
      </c>
      <c r="J175" s="18" t="str">
        <f t="shared" si="46"/>
        <v>SPT021UG1/GGIO1.Ind3</v>
      </c>
      <c r="K175" s="23" t="s">
        <v>92</v>
      </c>
      <c r="L175" s="9" t="s">
        <v>244</v>
      </c>
      <c r="M175" t="s">
        <v>40</v>
      </c>
      <c r="S175">
        <f t="shared" si="44"/>
        <v>136</v>
      </c>
      <c r="T175" t="str">
        <f t="shared" si="45"/>
        <v>lb_dd136</v>
      </c>
      <c r="X175">
        <v>3</v>
      </c>
    </row>
    <row r="176" spans="1:24" hidden="1" outlineLevel="1" x14ac:dyDescent="0.3">
      <c r="A176" s="363"/>
      <c r="B176" s="348"/>
      <c r="C176" s="20" t="s">
        <v>106</v>
      </c>
      <c r="D176" s="7" t="s">
        <v>118</v>
      </c>
      <c r="E176" s="21" t="s">
        <v>2</v>
      </c>
      <c r="F176" s="351"/>
      <c r="G176" s="354"/>
      <c r="H176" s="357"/>
      <c r="I176" s="12">
        <v>4232</v>
      </c>
      <c r="J176" s="18" t="str">
        <f t="shared" si="46"/>
        <v>SPT021UG1/GGIO1.Ind4</v>
      </c>
      <c r="K176" s="23" t="s">
        <v>92</v>
      </c>
      <c r="L176" s="9" t="s">
        <v>244</v>
      </c>
      <c r="M176" t="s">
        <v>42</v>
      </c>
      <c r="S176">
        <f t="shared" si="44"/>
        <v>137</v>
      </c>
      <c r="T176" t="str">
        <f t="shared" si="45"/>
        <v>lb_dd137</v>
      </c>
      <c r="X176">
        <v>4</v>
      </c>
    </row>
    <row r="177" spans="1:24" hidden="1" outlineLevel="1" x14ac:dyDescent="0.3">
      <c r="A177" s="363"/>
      <c r="B177" s="348"/>
      <c r="C177" s="20" t="s">
        <v>107</v>
      </c>
      <c r="D177" s="7" t="s">
        <v>119</v>
      </c>
      <c r="E177" s="21" t="s">
        <v>2</v>
      </c>
      <c r="F177" s="351"/>
      <c r="G177" s="354"/>
      <c r="H177" s="357"/>
      <c r="I177" s="12">
        <v>4233</v>
      </c>
      <c r="J177" s="18" t="str">
        <f t="shared" si="46"/>
        <v>SPT021UG1/GGIO1.Ind5</v>
      </c>
      <c r="K177" s="23" t="s">
        <v>92</v>
      </c>
      <c r="L177" s="9" t="s">
        <v>244</v>
      </c>
      <c r="M177" t="s">
        <v>44</v>
      </c>
      <c r="S177">
        <f t="shared" si="44"/>
        <v>138</v>
      </c>
      <c r="T177" t="str">
        <f t="shared" si="45"/>
        <v>lb_dd138</v>
      </c>
      <c r="X177">
        <v>5</v>
      </c>
    </row>
    <row r="178" spans="1:24" hidden="1" outlineLevel="1" x14ac:dyDescent="0.3">
      <c r="A178" s="363"/>
      <c r="B178" s="348"/>
      <c r="C178" s="20" t="s">
        <v>108</v>
      </c>
      <c r="D178" s="7" t="s">
        <v>120</v>
      </c>
      <c r="E178" s="21" t="s">
        <v>10</v>
      </c>
      <c r="F178" s="351"/>
      <c r="G178" s="354"/>
      <c r="H178" s="357"/>
      <c r="I178" s="12">
        <v>4234</v>
      </c>
      <c r="J178" s="18" t="str">
        <f t="shared" si="46"/>
        <v>SPT021UG1/GGIO1.Ind6</v>
      </c>
      <c r="K178" s="23" t="s">
        <v>92</v>
      </c>
      <c r="L178" s="9" t="s">
        <v>244</v>
      </c>
      <c r="M178" t="s">
        <v>46</v>
      </c>
      <c r="S178">
        <f t="shared" si="44"/>
        <v>139</v>
      </c>
      <c r="T178" t="str">
        <f t="shared" si="45"/>
        <v>lb_dd139</v>
      </c>
      <c r="X178">
        <v>6</v>
      </c>
    </row>
    <row r="179" spans="1:24" hidden="1" outlineLevel="1" x14ac:dyDescent="0.3">
      <c r="A179" s="363"/>
      <c r="B179" s="348"/>
      <c r="C179" s="20" t="s">
        <v>109</v>
      </c>
      <c r="D179" s="7" t="s">
        <v>121</v>
      </c>
      <c r="E179" s="21" t="s">
        <v>10</v>
      </c>
      <c r="F179" s="351"/>
      <c r="G179" s="354"/>
      <c r="H179" s="357"/>
      <c r="I179" s="12">
        <v>4235</v>
      </c>
      <c r="J179" s="18" t="str">
        <f t="shared" si="46"/>
        <v>SPT021UG1/GGIO1.Alm1</v>
      </c>
      <c r="K179" s="23" t="s">
        <v>92</v>
      </c>
      <c r="L179" s="9" t="s">
        <v>244</v>
      </c>
      <c r="M179" s="34" t="s">
        <v>37</v>
      </c>
      <c r="S179">
        <f t="shared" si="44"/>
        <v>140</v>
      </c>
      <c r="T179" t="str">
        <f t="shared" si="45"/>
        <v>lb_dd140</v>
      </c>
      <c r="X179">
        <v>7</v>
      </c>
    </row>
    <row r="180" spans="1:24" hidden="1" outlineLevel="1" x14ac:dyDescent="0.3">
      <c r="A180" s="363"/>
      <c r="B180" s="348"/>
      <c r="C180" s="20" t="s">
        <v>110</v>
      </c>
      <c r="D180" s="7" t="s">
        <v>122</v>
      </c>
      <c r="E180" s="21" t="s">
        <v>10</v>
      </c>
      <c r="F180" s="351"/>
      <c r="G180" s="354"/>
      <c r="H180" s="357"/>
      <c r="I180" s="12">
        <v>4236</v>
      </c>
      <c r="J180" s="18" t="str">
        <f t="shared" si="46"/>
        <v>SPT021UG1/GGIO1.Alm2</v>
      </c>
      <c r="K180" s="23" t="s">
        <v>92</v>
      </c>
      <c r="L180" s="9" t="s">
        <v>244</v>
      </c>
      <c r="M180" s="34" t="s">
        <v>39</v>
      </c>
      <c r="S180">
        <f t="shared" si="44"/>
        <v>141</v>
      </c>
      <c r="T180" t="str">
        <f t="shared" si="45"/>
        <v>lb_dd141</v>
      </c>
      <c r="X180">
        <v>8</v>
      </c>
    </row>
    <row r="181" spans="1:24" hidden="1" outlineLevel="1" x14ac:dyDescent="0.3">
      <c r="A181" s="363"/>
      <c r="B181" s="348"/>
      <c r="C181" s="20" t="s">
        <v>111</v>
      </c>
      <c r="D181" s="7" t="s">
        <v>123</v>
      </c>
      <c r="E181" s="21" t="s">
        <v>4</v>
      </c>
      <c r="F181" s="351"/>
      <c r="G181" s="354"/>
      <c r="H181" s="357"/>
      <c r="I181" s="12">
        <v>4237</v>
      </c>
      <c r="J181" s="18" t="str">
        <f t="shared" si="46"/>
        <v>SPT021UG1/GGIO1.Alm3</v>
      </c>
      <c r="K181" s="23" t="s">
        <v>92</v>
      </c>
      <c r="L181" s="9" t="s">
        <v>244</v>
      </c>
      <c r="M181" s="34" t="s">
        <v>41</v>
      </c>
      <c r="S181">
        <f t="shared" si="44"/>
        <v>142</v>
      </c>
      <c r="T181" t="str">
        <f t="shared" si="45"/>
        <v>lb_dd142</v>
      </c>
      <c r="X181">
        <v>9</v>
      </c>
    </row>
    <row r="182" spans="1:24" hidden="1" outlineLevel="1" x14ac:dyDescent="0.3">
      <c r="A182" s="363"/>
      <c r="B182" s="348"/>
      <c r="C182" s="20" t="s">
        <v>112</v>
      </c>
      <c r="D182" s="7" t="s">
        <v>124</v>
      </c>
      <c r="E182" s="21" t="s">
        <v>2</v>
      </c>
      <c r="F182" s="351"/>
      <c r="G182" s="354"/>
      <c r="H182" s="357"/>
      <c r="I182" s="12">
        <v>4238</v>
      </c>
      <c r="J182" s="18" t="str">
        <f t="shared" si="46"/>
        <v>SPT021UG1/GGIO1.Ind7</v>
      </c>
      <c r="K182" s="23" t="s">
        <v>92</v>
      </c>
      <c r="L182" s="9" t="s">
        <v>244</v>
      </c>
      <c r="M182" t="s">
        <v>48</v>
      </c>
      <c r="S182">
        <f t="shared" si="44"/>
        <v>143</v>
      </c>
      <c r="T182" t="str">
        <f t="shared" si="45"/>
        <v>lb_dd143</v>
      </c>
      <c r="X182">
        <v>10</v>
      </c>
    </row>
    <row r="183" spans="1:24" hidden="1" outlineLevel="1" x14ac:dyDescent="0.3">
      <c r="A183" s="363"/>
      <c r="B183" s="348"/>
      <c r="C183" s="20" t="s">
        <v>113</v>
      </c>
      <c r="D183" s="7" t="s">
        <v>125</v>
      </c>
      <c r="E183" s="21" t="s">
        <v>4</v>
      </c>
      <c r="F183" s="351"/>
      <c r="G183" s="354"/>
      <c r="H183" s="357"/>
      <c r="I183" s="12">
        <v>4239</v>
      </c>
      <c r="J183" s="18" t="str">
        <f t="shared" si="46"/>
        <v>SPT021UG1/GGIO1.Alm4</v>
      </c>
      <c r="K183" s="23" t="s">
        <v>92</v>
      </c>
      <c r="L183" s="9" t="s">
        <v>244</v>
      </c>
      <c r="M183" s="34" t="s">
        <v>43</v>
      </c>
      <c r="S183">
        <f t="shared" si="44"/>
        <v>144</v>
      </c>
      <c r="T183" t="str">
        <f t="shared" si="45"/>
        <v>lb_dd144</v>
      </c>
      <c r="X183">
        <v>11</v>
      </c>
    </row>
    <row r="184" spans="1:24" hidden="1" outlineLevel="1" x14ac:dyDescent="0.3">
      <c r="A184" s="363"/>
      <c r="B184" s="348"/>
      <c r="C184" s="20" t="s">
        <v>114</v>
      </c>
      <c r="D184" s="7" t="s">
        <v>126</v>
      </c>
      <c r="E184" s="21" t="s">
        <v>2</v>
      </c>
      <c r="F184" s="351"/>
      <c r="G184" s="354"/>
      <c r="H184" s="357"/>
      <c r="I184" s="12">
        <v>4240</v>
      </c>
      <c r="J184" s="18" t="str">
        <f t="shared" si="46"/>
        <v>SPT021UG1/GGIO1.Ind8</v>
      </c>
      <c r="K184" s="23" t="s">
        <v>92</v>
      </c>
      <c r="L184" s="9" t="s">
        <v>244</v>
      </c>
      <c r="M184" t="s">
        <v>55</v>
      </c>
      <c r="S184">
        <f t="shared" si="44"/>
        <v>145</v>
      </c>
      <c r="T184" t="str">
        <f t="shared" si="45"/>
        <v>lb_dd145</v>
      </c>
      <c r="X184">
        <v>12</v>
      </c>
    </row>
    <row r="185" spans="1:24" hidden="1" outlineLevel="1" x14ac:dyDescent="0.3">
      <c r="A185" s="363"/>
      <c r="B185" s="348"/>
      <c r="C185" s="20" t="s">
        <v>127</v>
      </c>
      <c r="D185" s="7" t="s">
        <v>136</v>
      </c>
      <c r="E185" s="21" t="s">
        <v>4</v>
      </c>
      <c r="F185" s="351"/>
      <c r="G185" s="354"/>
      <c r="H185" s="357"/>
      <c r="I185" s="12">
        <v>4241</v>
      </c>
      <c r="J185" s="18" t="str">
        <f t="shared" si="46"/>
        <v>SPT021UG1/GGIO1.Alm5</v>
      </c>
      <c r="K185" s="23" t="s">
        <v>92</v>
      </c>
      <c r="L185" s="9" t="s">
        <v>244</v>
      </c>
      <c r="M185" s="34" t="s">
        <v>45</v>
      </c>
      <c r="S185">
        <f t="shared" si="44"/>
        <v>146</v>
      </c>
      <c r="T185" t="str">
        <f t="shared" si="45"/>
        <v>lb_dd146</v>
      </c>
      <c r="X185">
        <v>13</v>
      </c>
    </row>
    <row r="186" spans="1:24" hidden="1" outlineLevel="1" x14ac:dyDescent="0.3">
      <c r="A186" s="363"/>
      <c r="B186" s="348"/>
      <c r="C186" s="20" t="s">
        <v>128</v>
      </c>
      <c r="D186" s="7" t="s">
        <v>137</v>
      </c>
      <c r="E186" s="21" t="s">
        <v>4</v>
      </c>
      <c r="F186" s="351"/>
      <c r="G186" s="354"/>
      <c r="H186" s="357"/>
      <c r="I186" s="12">
        <v>4242</v>
      </c>
      <c r="J186" s="18" t="str">
        <f t="shared" si="46"/>
        <v>SPT021UG1/GGIO1.Alm6</v>
      </c>
      <c r="K186" s="23" t="s">
        <v>92</v>
      </c>
      <c r="L186" s="9" t="s">
        <v>244</v>
      </c>
      <c r="M186" s="34" t="s">
        <v>47</v>
      </c>
      <c r="S186">
        <f t="shared" si="44"/>
        <v>147</v>
      </c>
      <c r="T186" t="str">
        <f t="shared" si="45"/>
        <v>lb_dd147</v>
      </c>
      <c r="X186">
        <v>14</v>
      </c>
    </row>
    <row r="187" spans="1:24" hidden="1" outlineLevel="1" x14ac:dyDescent="0.3">
      <c r="A187" s="363"/>
      <c r="B187" s="348"/>
      <c r="C187" s="20" t="s">
        <v>129</v>
      </c>
      <c r="D187" s="7" t="s">
        <v>138</v>
      </c>
      <c r="E187" s="21" t="s">
        <v>4</v>
      </c>
      <c r="F187" s="351"/>
      <c r="G187" s="354"/>
      <c r="H187" s="357"/>
      <c r="I187" s="12">
        <v>4243</v>
      </c>
      <c r="J187" s="18" t="str">
        <f t="shared" si="46"/>
        <v>SPT021UG1/GGIO1.Alm7</v>
      </c>
      <c r="K187" s="23" t="s">
        <v>92</v>
      </c>
      <c r="L187" s="9" t="s">
        <v>244</v>
      </c>
      <c r="M187" s="34" t="s">
        <v>49</v>
      </c>
      <c r="S187">
        <f t="shared" si="44"/>
        <v>148</v>
      </c>
      <c r="T187" t="str">
        <f t="shared" si="45"/>
        <v>lb_dd148</v>
      </c>
      <c r="X187">
        <v>15</v>
      </c>
    </row>
    <row r="188" spans="1:24" hidden="1" outlineLevel="1" x14ac:dyDescent="0.3">
      <c r="A188" s="363"/>
      <c r="B188" s="348"/>
      <c r="C188" s="20" t="s">
        <v>130</v>
      </c>
      <c r="D188" s="63" t="s">
        <v>29</v>
      </c>
      <c r="E188" s="63" t="s">
        <v>29</v>
      </c>
      <c r="F188" s="351"/>
      <c r="G188" s="354"/>
      <c r="H188" s="357"/>
      <c r="I188" s="12">
        <v>4244</v>
      </c>
      <c r="J188" s="18" t="str">
        <f t="shared" si="46"/>
        <v/>
      </c>
      <c r="S188">
        <f t="shared" si="44"/>
        <v>149</v>
      </c>
      <c r="T188" t="str">
        <f t="shared" si="45"/>
        <v>lb_dd149</v>
      </c>
      <c r="X188">
        <v>16</v>
      </c>
    </row>
    <row r="189" spans="1:24" hidden="1" outlineLevel="1" x14ac:dyDescent="0.3">
      <c r="A189" s="363"/>
      <c r="B189" s="348"/>
      <c r="C189" s="20" t="s">
        <v>131</v>
      </c>
      <c r="D189" s="7" t="s">
        <v>139</v>
      </c>
      <c r="E189" s="21" t="s">
        <v>4</v>
      </c>
      <c r="F189" s="351"/>
      <c r="G189" s="354"/>
      <c r="H189" s="357"/>
      <c r="I189" s="12">
        <v>4245</v>
      </c>
      <c r="J189" s="18" t="str">
        <f t="shared" si="46"/>
        <v>SPT021UG1/GGIO1.Alm8</v>
      </c>
      <c r="K189" s="23" t="s">
        <v>92</v>
      </c>
      <c r="L189" s="9" t="s">
        <v>244</v>
      </c>
      <c r="M189" s="34" t="s">
        <v>56</v>
      </c>
      <c r="S189">
        <f t="shared" si="44"/>
        <v>150</v>
      </c>
      <c r="T189" t="str">
        <f t="shared" si="45"/>
        <v>lb_dd150</v>
      </c>
      <c r="X189">
        <v>17</v>
      </c>
    </row>
    <row r="190" spans="1:24" hidden="1" outlineLevel="1" x14ac:dyDescent="0.3">
      <c r="A190" s="363"/>
      <c r="B190" s="348"/>
      <c r="C190" s="20" t="s">
        <v>132</v>
      </c>
      <c r="D190" s="7" t="s">
        <v>140</v>
      </c>
      <c r="E190" s="21" t="s">
        <v>2</v>
      </c>
      <c r="F190" s="351"/>
      <c r="G190" s="354"/>
      <c r="H190" s="357"/>
      <c r="I190" s="12">
        <v>4246</v>
      </c>
      <c r="J190" s="18" t="str">
        <f t="shared" si="46"/>
        <v>SPT021UG1/GGIO1.Ind9</v>
      </c>
      <c r="K190" s="23" t="s">
        <v>92</v>
      </c>
      <c r="L190" s="9" t="s">
        <v>244</v>
      </c>
      <c r="M190" t="s">
        <v>93</v>
      </c>
      <c r="S190">
        <f t="shared" si="44"/>
        <v>151</v>
      </c>
      <c r="T190" t="str">
        <f t="shared" si="45"/>
        <v>lb_dd151</v>
      </c>
      <c r="X190">
        <v>18</v>
      </c>
    </row>
    <row r="191" spans="1:24" hidden="1" outlineLevel="1" x14ac:dyDescent="0.3">
      <c r="A191" s="363"/>
      <c r="B191" s="348"/>
      <c r="C191" s="20" t="s">
        <v>133</v>
      </c>
      <c r="D191" s="7" t="s">
        <v>141</v>
      </c>
      <c r="E191" s="21" t="s">
        <v>2</v>
      </c>
      <c r="F191" s="351"/>
      <c r="G191" s="354"/>
      <c r="H191" s="357"/>
      <c r="I191" s="12">
        <v>4247</v>
      </c>
      <c r="J191" s="18" t="str">
        <f t="shared" si="46"/>
        <v>SPT021UG1/GGIO1.Ind10</v>
      </c>
      <c r="K191" s="23" t="s">
        <v>92</v>
      </c>
      <c r="L191" s="9" t="s">
        <v>244</v>
      </c>
      <c r="M191" t="s">
        <v>94</v>
      </c>
      <c r="S191">
        <f t="shared" si="44"/>
        <v>152</v>
      </c>
      <c r="T191" t="str">
        <f t="shared" si="45"/>
        <v>lb_dd152</v>
      </c>
      <c r="X191">
        <v>19</v>
      </c>
    </row>
    <row r="192" spans="1:24" hidden="1" outlineLevel="1" x14ac:dyDescent="0.3">
      <c r="A192" s="363"/>
      <c r="B192" s="348"/>
      <c r="C192" s="20" t="s">
        <v>134</v>
      </c>
      <c r="D192" s="7" t="s">
        <v>142</v>
      </c>
      <c r="E192" s="21" t="s">
        <v>2</v>
      </c>
      <c r="F192" s="351"/>
      <c r="G192" s="354"/>
      <c r="H192" s="357"/>
      <c r="I192" s="12">
        <v>4248</v>
      </c>
      <c r="J192" s="18" t="str">
        <f t="shared" si="46"/>
        <v>SPT021UG1/GGIO1.Ind11</v>
      </c>
      <c r="K192" s="23" t="s">
        <v>92</v>
      </c>
      <c r="L192" s="9" t="s">
        <v>244</v>
      </c>
      <c r="M192" t="s">
        <v>95</v>
      </c>
      <c r="S192">
        <f t="shared" si="44"/>
        <v>153</v>
      </c>
      <c r="T192" t="str">
        <f t="shared" si="45"/>
        <v>lb_dd153</v>
      </c>
      <c r="X192">
        <v>20</v>
      </c>
    </row>
    <row r="193" spans="1:24" hidden="1" outlineLevel="1" x14ac:dyDescent="0.3">
      <c r="A193" s="363"/>
      <c r="B193" s="348"/>
      <c r="C193" s="20" t="s">
        <v>135</v>
      </c>
      <c r="D193" s="7" t="s">
        <v>143</v>
      </c>
      <c r="E193" s="21" t="s">
        <v>10</v>
      </c>
      <c r="F193" s="351"/>
      <c r="G193" s="354"/>
      <c r="H193" s="357"/>
      <c r="I193" s="12">
        <v>4249</v>
      </c>
      <c r="J193" s="18" t="str">
        <f t="shared" si="46"/>
        <v>SPT021UG1/GGIO1.Ind12</v>
      </c>
      <c r="K193" s="23" t="s">
        <v>92</v>
      </c>
      <c r="L193" s="9" t="s">
        <v>244</v>
      </c>
      <c r="M193" t="s">
        <v>96</v>
      </c>
      <c r="S193">
        <f t="shared" si="44"/>
        <v>154</v>
      </c>
      <c r="T193" t="str">
        <f t="shared" si="45"/>
        <v>lb_dd154</v>
      </c>
      <c r="X193">
        <v>21</v>
      </c>
    </row>
    <row r="194" spans="1:24" hidden="1" outlineLevel="1" x14ac:dyDescent="0.3">
      <c r="A194" s="363"/>
      <c r="B194" s="348"/>
      <c r="C194" s="20" t="s">
        <v>144</v>
      </c>
      <c r="D194" s="7" t="s">
        <v>152</v>
      </c>
      <c r="E194" s="21" t="s">
        <v>4</v>
      </c>
      <c r="F194" s="351"/>
      <c r="G194" s="354"/>
      <c r="H194" s="357"/>
      <c r="I194" s="12">
        <v>4250</v>
      </c>
      <c r="J194" s="18" t="str">
        <f t="shared" si="46"/>
        <v>SPT021UG1/GGIO1.Alm9</v>
      </c>
      <c r="K194" s="23" t="s">
        <v>92</v>
      </c>
      <c r="L194" s="9" t="s">
        <v>244</v>
      </c>
      <c r="M194" s="34" t="s">
        <v>217</v>
      </c>
      <c r="S194">
        <f t="shared" si="44"/>
        <v>155</v>
      </c>
      <c r="T194" t="str">
        <f t="shared" si="45"/>
        <v>lb_dd155</v>
      </c>
      <c r="X194">
        <v>22</v>
      </c>
    </row>
    <row r="195" spans="1:24" hidden="1" outlineLevel="1" x14ac:dyDescent="0.3">
      <c r="A195" s="363"/>
      <c r="B195" s="348"/>
      <c r="C195" s="7" t="s">
        <v>145</v>
      </c>
      <c r="D195" s="7" t="s">
        <v>153</v>
      </c>
      <c r="E195" s="21" t="s">
        <v>4</v>
      </c>
      <c r="F195" s="351"/>
      <c r="G195" s="354"/>
      <c r="H195" s="357"/>
      <c r="I195" s="12">
        <v>4251</v>
      </c>
      <c r="J195" s="18" t="str">
        <f t="shared" si="46"/>
        <v>SPT021UG1/GGIO1.Alm10</v>
      </c>
      <c r="K195" s="23" t="s">
        <v>92</v>
      </c>
      <c r="L195" s="9" t="s">
        <v>244</v>
      </c>
      <c r="M195" s="34" t="s">
        <v>218</v>
      </c>
      <c r="S195">
        <f t="shared" si="44"/>
        <v>156</v>
      </c>
      <c r="T195" t="str">
        <f t="shared" si="45"/>
        <v>lb_dd156</v>
      </c>
      <c r="X195">
        <v>23</v>
      </c>
    </row>
    <row r="196" spans="1:24" hidden="1" outlineLevel="1" x14ac:dyDescent="0.3">
      <c r="A196" s="363"/>
      <c r="B196" s="348"/>
      <c r="C196" s="7" t="s">
        <v>146</v>
      </c>
      <c r="D196" s="7" t="s">
        <v>154</v>
      </c>
      <c r="E196" s="21" t="s">
        <v>4</v>
      </c>
      <c r="F196" s="351"/>
      <c r="G196" s="354"/>
      <c r="H196" s="357"/>
      <c r="I196" s="12">
        <v>4252</v>
      </c>
      <c r="J196" s="18" t="str">
        <f t="shared" si="46"/>
        <v>SPT021UG1/GGIO1.Alm11</v>
      </c>
      <c r="K196" s="23" t="s">
        <v>92</v>
      </c>
      <c r="L196" s="9" t="s">
        <v>244</v>
      </c>
      <c r="M196" s="34" t="s">
        <v>219</v>
      </c>
      <c r="S196">
        <f t="shared" si="44"/>
        <v>157</v>
      </c>
      <c r="T196" t="str">
        <f t="shared" si="45"/>
        <v>lb_dd157</v>
      </c>
      <c r="X196">
        <v>24</v>
      </c>
    </row>
    <row r="197" spans="1:24" hidden="1" outlineLevel="1" x14ac:dyDescent="0.3">
      <c r="A197" s="363"/>
      <c r="B197" s="348"/>
      <c r="C197" s="20" t="s">
        <v>147</v>
      </c>
      <c r="D197" s="7" t="s">
        <v>155</v>
      </c>
      <c r="E197" s="21" t="s">
        <v>4</v>
      </c>
      <c r="F197" s="351"/>
      <c r="G197" s="354"/>
      <c r="H197" s="357"/>
      <c r="I197" s="12">
        <v>4253</v>
      </c>
      <c r="J197" s="18" t="str">
        <f t="shared" si="46"/>
        <v>SPT021UG1/GGIO1.Alm12</v>
      </c>
      <c r="K197" s="23" t="s">
        <v>92</v>
      </c>
      <c r="L197" s="9" t="s">
        <v>244</v>
      </c>
      <c r="M197" s="34" t="s">
        <v>220</v>
      </c>
      <c r="S197">
        <f t="shared" si="44"/>
        <v>158</v>
      </c>
      <c r="T197" t="str">
        <f t="shared" si="45"/>
        <v>lb_dd158</v>
      </c>
      <c r="X197">
        <v>25</v>
      </c>
    </row>
    <row r="198" spans="1:24" hidden="1" outlineLevel="1" x14ac:dyDescent="0.3">
      <c r="A198" s="363"/>
      <c r="B198" s="348"/>
      <c r="C198" s="20" t="s">
        <v>148</v>
      </c>
      <c r="D198" s="7" t="s">
        <v>156</v>
      </c>
      <c r="E198" s="21" t="s">
        <v>4</v>
      </c>
      <c r="F198" s="351"/>
      <c r="G198" s="354"/>
      <c r="H198" s="357"/>
      <c r="I198" s="12">
        <v>4254</v>
      </c>
      <c r="J198" s="18" t="str">
        <f t="shared" si="46"/>
        <v>SPT021UG1/GGIO1.Alm13</v>
      </c>
      <c r="K198" s="23" t="s">
        <v>92</v>
      </c>
      <c r="L198" s="9" t="s">
        <v>244</v>
      </c>
      <c r="M198" s="34" t="s">
        <v>221</v>
      </c>
      <c r="S198">
        <f t="shared" si="44"/>
        <v>159</v>
      </c>
      <c r="T198" t="str">
        <f t="shared" si="45"/>
        <v>lb_dd159</v>
      </c>
      <c r="X198">
        <v>26</v>
      </c>
    </row>
    <row r="199" spans="1:24" hidden="1" outlineLevel="1" x14ac:dyDescent="0.3">
      <c r="A199" s="363"/>
      <c r="B199" s="348"/>
      <c r="C199" s="20" t="s">
        <v>149</v>
      </c>
      <c r="D199" s="7" t="s">
        <v>157</v>
      </c>
      <c r="E199" s="21" t="s">
        <v>4</v>
      </c>
      <c r="F199" s="351"/>
      <c r="G199" s="354"/>
      <c r="H199" s="357"/>
      <c r="I199" s="12">
        <v>4255</v>
      </c>
      <c r="J199" s="18" t="str">
        <f t="shared" si="46"/>
        <v>SPT021UG1/GGIO1.Alm14</v>
      </c>
      <c r="K199" s="23" t="s">
        <v>92</v>
      </c>
      <c r="L199" s="9" t="s">
        <v>244</v>
      </c>
      <c r="M199" s="34" t="s">
        <v>222</v>
      </c>
      <c r="S199">
        <f t="shared" si="44"/>
        <v>160</v>
      </c>
      <c r="T199" t="str">
        <f t="shared" si="45"/>
        <v>lb_dd160</v>
      </c>
      <c r="X199">
        <v>27</v>
      </c>
    </row>
    <row r="200" spans="1:24" hidden="1" outlineLevel="1" x14ac:dyDescent="0.3">
      <c r="A200" s="363"/>
      <c r="B200" s="348"/>
      <c r="C200" s="20" t="s">
        <v>150</v>
      </c>
      <c r="D200" s="7" t="s">
        <v>123</v>
      </c>
      <c r="E200" s="21" t="s">
        <v>4</v>
      </c>
      <c r="F200" s="351"/>
      <c r="G200" s="354"/>
      <c r="H200" s="357"/>
      <c r="I200" s="12">
        <v>4256</v>
      </c>
      <c r="J200" s="18" t="str">
        <f t="shared" si="46"/>
        <v>SPT021UG1/GGIO1.Alm15</v>
      </c>
      <c r="K200" s="23" t="s">
        <v>92</v>
      </c>
      <c r="L200" s="9" t="s">
        <v>244</v>
      </c>
      <c r="M200" s="34" t="s">
        <v>223</v>
      </c>
      <c r="S200">
        <f t="shared" si="44"/>
        <v>161</v>
      </c>
      <c r="T200" t="str">
        <f t="shared" si="45"/>
        <v>lb_dd161</v>
      </c>
      <c r="X200">
        <v>28</v>
      </c>
    </row>
    <row r="201" spans="1:24" hidden="1" outlineLevel="1" x14ac:dyDescent="0.3">
      <c r="A201" s="363"/>
      <c r="B201" s="348"/>
      <c r="C201" s="20" t="s">
        <v>151</v>
      </c>
      <c r="D201" s="7" t="s">
        <v>158</v>
      </c>
      <c r="E201" s="21" t="s">
        <v>4</v>
      </c>
      <c r="F201" s="351"/>
      <c r="G201" s="354"/>
      <c r="H201" s="357"/>
      <c r="I201" s="12">
        <v>4257</v>
      </c>
      <c r="J201" s="18" t="str">
        <f t="shared" si="46"/>
        <v>SPT021UG1/GGIO1.Alm16</v>
      </c>
      <c r="K201" s="23" t="s">
        <v>92</v>
      </c>
      <c r="L201" s="9" t="s">
        <v>244</v>
      </c>
      <c r="M201" s="34" t="s">
        <v>224</v>
      </c>
      <c r="S201">
        <f t="shared" si="44"/>
        <v>162</v>
      </c>
      <c r="T201" t="str">
        <f t="shared" si="45"/>
        <v>lb_dd162</v>
      </c>
      <c r="X201">
        <v>29</v>
      </c>
    </row>
    <row r="202" spans="1:24" hidden="1" outlineLevel="1" x14ac:dyDescent="0.3">
      <c r="A202" s="363"/>
      <c r="B202" s="348"/>
      <c r="C202" s="20" t="s">
        <v>159</v>
      </c>
      <c r="D202" s="7" t="s">
        <v>170</v>
      </c>
      <c r="E202" s="21" t="s">
        <v>4</v>
      </c>
      <c r="F202" s="351"/>
      <c r="G202" s="354"/>
      <c r="H202" s="357"/>
      <c r="I202" s="12">
        <v>4258</v>
      </c>
      <c r="J202" s="18" t="str">
        <f t="shared" si="46"/>
        <v>SPT021UG1/GGIO1.Alm17</v>
      </c>
      <c r="K202" s="23" t="s">
        <v>92</v>
      </c>
      <c r="L202" s="9" t="s">
        <v>244</v>
      </c>
      <c r="M202" s="34" t="s">
        <v>225</v>
      </c>
      <c r="S202">
        <f t="shared" si="44"/>
        <v>163</v>
      </c>
      <c r="T202" t="str">
        <f t="shared" si="45"/>
        <v>lb_dd163</v>
      </c>
      <c r="X202">
        <v>30</v>
      </c>
    </row>
    <row r="203" spans="1:24" hidden="1" outlineLevel="1" x14ac:dyDescent="0.3">
      <c r="A203" s="363"/>
      <c r="B203" s="348"/>
      <c r="C203" s="7" t="s">
        <v>160</v>
      </c>
      <c r="D203" s="7" t="s">
        <v>171</v>
      </c>
      <c r="E203" s="21" t="s">
        <v>4</v>
      </c>
      <c r="F203" s="351"/>
      <c r="G203" s="354"/>
      <c r="H203" s="357"/>
      <c r="I203" s="12">
        <v>4259</v>
      </c>
      <c r="J203" s="18" t="str">
        <f t="shared" si="46"/>
        <v>SPT021UG1/GGIO1.Alm18</v>
      </c>
      <c r="K203" s="23" t="s">
        <v>92</v>
      </c>
      <c r="L203" s="9" t="s">
        <v>244</v>
      </c>
      <c r="M203" s="34" t="s">
        <v>226</v>
      </c>
      <c r="S203">
        <f t="shared" si="44"/>
        <v>164</v>
      </c>
      <c r="T203" t="str">
        <f t="shared" si="45"/>
        <v>lb_dd164</v>
      </c>
      <c r="X203">
        <v>31</v>
      </c>
    </row>
    <row r="204" spans="1:24" hidden="1" outlineLevel="1" x14ac:dyDescent="0.3">
      <c r="A204" s="363"/>
      <c r="B204" s="348"/>
      <c r="C204" s="7" t="s">
        <v>161</v>
      </c>
      <c r="D204" s="7" t="s">
        <v>172</v>
      </c>
      <c r="E204" s="21" t="s">
        <v>4</v>
      </c>
      <c r="F204" s="351"/>
      <c r="G204" s="354"/>
      <c r="H204" s="357"/>
      <c r="I204" s="12">
        <v>4260</v>
      </c>
      <c r="J204" s="18" t="str">
        <f t="shared" si="46"/>
        <v>SPT021UG1/GGIO1.Alm19</v>
      </c>
      <c r="K204" s="23" t="s">
        <v>92</v>
      </c>
      <c r="L204" s="9" t="s">
        <v>244</v>
      </c>
      <c r="M204" s="34" t="s">
        <v>227</v>
      </c>
      <c r="S204">
        <f t="shared" si="44"/>
        <v>165</v>
      </c>
      <c r="T204" t="str">
        <f t="shared" si="45"/>
        <v>lb_dd165</v>
      </c>
      <c r="X204">
        <v>32</v>
      </c>
    </row>
    <row r="205" spans="1:24" hidden="1" outlineLevel="1" x14ac:dyDescent="0.3">
      <c r="A205" s="363"/>
      <c r="B205" s="348"/>
      <c r="C205" s="20" t="s">
        <v>162</v>
      </c>
      <c r="D205" s="7" t="s">
        <v>173</v>
      </c>
      <c r="E205" s="21" t="s">
        <v>4</v>
      </c>
      <c r="F205" s="351"/>
      <c r="G205" s="354"/>
      <c r="H205" s="357"/>
      <c r="I205" s="12">
        <v>4261</v>
      </c>
      <c r="J205" s="18" t="str">
        <f t="shared" si="46"/>
        <v>SPT021UG1/GGIO1.Alm20</v>
      </c>
      <c r="K205" s="23" t="s">
        <v>92</v>
      </c>
      <c r="L205" s="9" t="s">
        <v>244</v>
      </c>
      <c r="M205" s="34" t="s">
        <v>228</v>
      </c>
      <c r="S205">
        <f t="shared" si="44"/>
        <v>166</v>
      </c>
      <c r="T205" t="str">
        <f t="shared" si="45"/>
        <v>lb_dd166</v>
      </c>
      <c r="X205">
        <v>33</v>
      </c>
    </row>
    <row r="206" spans="1:24" hidden="1" outlineLevel="1" x14ac:dyDescent="0.3">
      <c r="A206" s="363"/>
      <c r="B206" s="348"/>
      <c r="C206" s="20" t="s">
        <v>163</v>
      </c>
      <c r="D206" s="7" t="s">
        <v>174</v>
      </c>
      <c r="E206" s="21" t="s">
        <v>4</v>
      </c>
      <c r="F206" s="351"/>
      <c r="G206" s="354"/>
      <c r="H206" s="357"/>
      <c r="I206" s="12">
        <v>4262</v>
      </c>
      <c r="J206" s="18" t="str">
        <f t="shared" si="46"/>
        <v>SPT021UG1/GGIO1.Alm21</v>
      </c>
      <c r="K206" s="23" t="s">
        <v>92</v>
      </c>
      <c r="L206" s="9" t="s">
        <v>244</v>
      </c>
      <c r="M206" s="34" t="s">
        <v>229</v>
      </c>
      <c r="S206">
        <f t="shared" si="44"/>
        <v>167</v>
      </c>
      <c r="T206" t="str">
        <f t="shared" si="45"/>
        <v>lb_dd167</v>
      </c>
      <c r="X206">
        <v>34</v>
      </c>
    </row>
    <row r="207" spans="1:24" hidden="1" outlineLevel="1" x14ac:dyDescent="0.3">
      <c r="A207" s="363"/>
      <c r="B207" s="348"/>
      <c r="C207" s="20" t="s">
        <v>164</v>
      </c>
      <c r="D207" s="7" t="s">
        <v>175</v>
      </c>
      <c r="E207" s="21" t="s">
        <v>4</v>
      </c>
      <c r="F207" s="351"/>
      <c r="G207" s="354"/>
      <c r="H207" s="357"/>
      <c r="I207" s="12">
        <v>4263</v>
      </c>
      <c r="J207" s="18" t="str">
        <f t="shared" si="46"/>
        <v>SPT021UG1/GGIO1.Alm22</v>
      </c>
      <c r="K207" s="23" t="s">
        <v>92</v>
      </c>
      <c r="L207" s="9" t="s">
        <v>244</v>
      </c>
      <c r="M207" s="34" t="s">
        <v>230</v>
      </c>
      <c r="S207">
        <f t="shared" si="44"/>
        <v>168</v>
      </c>
      <c r="T207" t="str">
        <f t="shared" si="45"/>
        <v>lb_dd168</v>
      </c>
      <c r="X207">
        <v>35</v>
      </c>
    </row>
    <row r="208" spans="1:24" hidden="1" outlineLevel="1" x14ac:dyDescent="0.3">
      <c r="A208" s="363"/>
      <c r="B208" s="348"/>
      <c r="C208" s="20" t="s">
        <v>76</v>
      </c>
      <c r="D208" s="7" t="s">
        <v>138</v>
      </c>
      <c r="E208" s="21" t="s">
        <v>4</v>
      </c>
      <c r="F208" s="351"/>
      <c r="G208" s="354"/>
      <c r="H208" s="357"/>
      <c r="I208" s="12">
        <v>4264</v>
      </c>
      <c r="J208" s="18" t="str">
        <f t="shared" si="46"/>
        <v>SPT021UG1/GGIO1.Alm23</v>
      </c>
      <c r="K208" s="23" t="s">
        <v>92</v>
      </c>
      <c r="L208" s="9" t="s">
        <v>244</v>
      </c>
      <c r="M208" s="34" t="s">
        <v>231</v>
      </c>
      <c r="S208">
        <f t="shared" si="44"/>
        <v>169</v>
      </c>
      <c r="T208" t="str">
        <f t="shared" si="45"/>
        <v>lb_dd169</v>
      </c>
      <c r="X208">
        <v>36</v>
      </c>
    </row>
    <row r="209" spans="1:24" hidden="1" outlineLevel="1" x14ac:dyDescent="0.3">
      <c r="A209" s="363"/>
      <c r="B209" s="348"/>
      <c r="C209" s="20" t="s">
        <v>165</v>
      </c>
      <c r="D209" s="7" t="s">
        <v>176</v>
      </c>
      <c r="E209" s="21" t="s">
        <v>4</v>
      </c>
      <c r="F209" s="351"/>
      <c r="G209" s="354"/>
      <c r="H209" s="357"/>
      <c r="I209" s="12">
        <v>4265</v>
      </c>
      <c r="J209" s="18" t="str">
        <f t="shared" si="46"/>
        <v>SPT021UG1/GGIO1.Alm24</v>
      </c>
      <c r="K209" s="23" t="s">
        <v>92</v>
      </c>
      <c r="L209" s="9" t="s">
        <v>244</v>
      </c>
      <c r="M209" s="34" t="s">
        <v>232</v>
      </c>
      <c r="S209">
        <f t="shared" si="44"/>
        <v>170</v>
      </c>
      <c r="T209" t="str">
        <f t="shared" si="45"/>
        <v>lb_dd170</v>
      </c>
      <c r="X209">
        <v>37</v>
      </c>
    </row>
    <row r="210" spans="1:24" hidden="1" outlineLevel="1" x14ac:dyDescent="0.3">
      <c r="A210" s="363"/>
      <c r="B210" s="348"/>
      <c r="C210" s="20" t="s">
        <v>166</v>
      </c>
      <c r="D210" s="7" t="s">
        <v>177</v>
      </c>
      <c r="E210" s="21" t="s">
        <v>4</v>
      </c>
      <c r="F210" s="351"/>
      <c r="G210" s="354"/>
      <c r="H210" s="357"/>
      <c r="I210" s="12">
        <v>4266</v>
      </c>
      <c r="J210" s="18" t="str">
        <f t="shared" si="46"/>
        <v>SPT021UG1/GGIO1.Alm25</v>
      </c>
      <c r="K210" s="23" t="s">
        <v>92</v>
      </c>
      <c r="L210" s="9" t="s">
        <v>244</v>
      </c>
      <c r="M210" s="34" t="s">
        <v>233</v>
      </c>
      <c r="S210">
        <f t="shared" si="44"/>
        <v>171</v>
      </c>
      <c r="T210" t="str">
        <f t="shared" si="45"/>
        <v>lb_dd171</v>
      </c>
      <c r="X210">
        <v>38</v>
      </c>
    </row>
    <row r="211" spans="1:24" hidden="1" outlineLevel="1" x14ac:dyDescent="0.3">
      <c r="A211" s="363"/>
      <c r="B211" s="348"/>
      <c r="C211" s="20" t="s">
        <v>167</v>
      </c>
      <c r="D211" s="7" t="s">
        <v>125</v>
      </c>
      <c r="E211" s="21" t="s">
        <v>4</v>
      </c>
      <c r="F211" s="351"/>
      <c r="G211" s="354"/>
      <c r="H211" s="357"/>
      <c r="I211" s="12">
        <v>4267</v>
      </c>
      <c r="J211" s="18" t="str">
        <f t="shared" si="46"/>
        <v>SPT021UG1/GGIO1.Alm26</v>
      </c>
      <c r="K211" s="23" t="s">
        <v>92</v>
      </c>
      <c r="L211" s="9" t="s">
        <v>244</v>
      </c>
      <c r="M211" s="34" t="s">
        <v>234</v>
      </c>
      <c r="S211">
        <f t="shared" si="44"/>
        <v>172</v>
      </c>
      <c r="T211" t="str">
        <f t="shared" si="45"/>
        <v>lb_dd172</v>
      </c>
      <c r="X211">
        <v>39</v>
      </c>
    </row>
    <row r="212" spans="1:24" hidden="1" outlineLevel="1" x14ac:dyDescent="0.3">
      <c r="A212" s="363"/>
      <c r="B212" s="348"/>
      <c r="C212" s="20" t="s">
        <v>168</v>
      </c>
      <c r="D212" s="7" t="s">
        <v>178</v>
      </c>
      <c r="E212" s="21" t="s">
        <v>4</v>
      </c>
      <c r="F212" s="351"/>
      <c r="G212" s="354"/>
      <c r="H212" s="357"/>
      <c r="I212" s="12">
        <v>4268</v>
      </c>
      <c r="J212" s="18" t="str">
        <f t="shared" si="46"/>
        <v>SPT021UG1/GGIO1.Alm27</v>
      </c>
      <c r="K212" s="23" t="s">
        <v>92</v>
      </c>
      <c r="L212" s="9" t="s">
        <v>244</v>
      </c>
      <c r="M212" s="34" t="s">
        <v>235</v>
      </c>
      <c r="S212">
        <f t="shared" si="44"/>
        <v>173</v>
      </c>
      <c r="T212" t="str">
        <f t="shared" si="45"/>
        <v>lb_dd173</v>
      </c>
      <c r="X212">
        <v>40</v>
      </c>
    </row>
    <row r="213" spans="1:24" hidden="1" outlineLevel="1" x14ac:dyDescent="0.3">
      <c r="A213" s="363"/>
      <c r="B213" s="348"/>
      <c r="C213" s="20" t="s">
        <v>169</v>
      </c>
      <c r="D213" s="7" t="s">
        <v>179</v>
      </c>
      <c r="E213" s="21" t="s">
        <v>4</v>
      </c>
      <c r="F213" s="351"/>
      <c r="G213" s="354"/>
      <c r="H213" s="357"/>
      <c r="I213" s="12">
        <v>4269</v>
      </c>
      <c r="J213" s="18" t="str">
        <f t="shared" si="46"/>
        <v>SPT021UG1/GGIO1.Alm28</v>
      </c>
      <c r="K213" s="23" t="s">
        <v>92</v>
      </c>
      <c r="L213" s="9" t="s">
        <v>244</v>
      </c>
      <c r="M213" s="34" t="s">
        <v>236</v>
      </c>
      <c r="S213">
        <f t="shared" si="44"/>
        <v>174</v>
      </c>
      <c r="T213" t="str">
        <f t="shared" si="45"/>
        <v>lb_dd174</v>
      </c>
      <c r="X213">
        <v>41</v>
      </c>
    </row>
    <row r="214" spans="1:24" hidden="1" outlineLevel="1" x14ac:dyDescent="0.3">
      <c r="A214" s="363"/>
      <c r="B214" s="348"/>
      <c r="C214" s="20" t="s">
        <v>182</v>
      </c>
      <c r="D214" s="7" t="s">
        <v>180</v>
      </c>
      <c r="E214" s="21" t="s">
        <v>4</v>
      </c>
      <c r="F214" s="351"/>
      <c r="G214" s="354"/>
      <c r="H214" s="357"/>
      <c r="I214" s="12">
        <v>4270</v>
      </c>
      <c r="J214" s="18" t="str">
        <f t="shared" si="46"/>
        <v>SPT021UG1/GGIO1.Alm29</v>
      </c>
      <c r="K214" s="23" t="s">
        <v>92</v>
      </c>
      <c r="L214" s="9" t="s">
        <v>244</v>
      </c>
      <c r="M214" s="34" t="s">
        <v>237</v>
      </c>
      <c r="S214">
        <f t="shared" si="44"/>
        <v>175</v>
      </c>
      <c r="T214" t="str">
        <f t="shared" si="45"/>
        <v>lb_dd175</v>
      </c>
      <c r="X214">
        <v>42</v>
      </c>
    </row>
    <row r="215" spans="1:24" hidden="1" outlineLevel="1" x14ac:dyDescent="0.3">
      <c r="A215" s="363"/>
      <c r="B215" s="348"/>
      <c r="C215" s="7" t="s">
        <v>183</v>
      </c>
      <c r="D215" s="7" t="s">
        <v>181</v>
      </c>
      <c r="E215" s="21" t="s">
        <v>4</v>
      </c>
      <c r="F215" s="351"/>
      <c r="G215" s="354"/>
      <c r="H215" s="357"/>
      <c r="I215" s="12">
        <v>4271</v>
      </c>
      <c r="J215" s="18" t="str">
        <f t="shared" si="46"/>
        <v>SPT021UG1/GGIO1.Alm30</v>
      </c>
      <c r="K215" s="23" t="s">
        <v>92</v>
      </c>
      <c r="L215" s="9" t="s">
        <v>244</v>
      </c>
      <c r="M215" s="34" t="s">
        <v>238</v>
      </c>
      <c r="S215">
        <f t="shared" si="44"/>
        <v>176</v>
      </c>
      <c r="T215" t="str">
        <f t="shared" si="45"/>
        <v>lb_dd176</v>
      </c>
      <c r="X215">
        <v>43</v>
      </c>
    </row>
    <row r="216" spans="1:24" hidden="1" outlineLevel="1" x14ac:dyDescent="0.3">
      <c r="A216" s="363"/>
      <c r="B216" s="348"/>
      <c r="C216" s="20" t="s">
        <v>191</v>
      </c>
      <c r="D216" s="7" t="s">
        <v>184</v>
      </c>
      <c r="E216" s="21" t="s">
        <v>190</v>
      </c>
      <c r="F216" s="351"/>
      <c r="G216" s="354"/>
      <c r="H216" s="357"/>
      <c r="I216" s="12">
        <v>4272</v>
      </c>
      <c r="J216" s="18" t="str">
        <f t="shared" si="46"/>
        <v>SPT021UG1/GGIO1.Ind13</v>
      </c>
      <c r="K216" s="23" t="s">
        <v>92</v>
      </c>
      <c r="L216" s="9" t="s">
        <v>244</v>
      </c>
      <c r="M216" t="s">
        <v>97</v>
      </c>
      <c r="S216">
        <f t="shared" si="44"/>
        <v>177</v>
      </c>
      <c r="T216" t="str">
        <f t="shared" si="45"/>
        <v>lb_dd177</v>
      </c>
      <c r="X216">
        <v>44</v>
      </c>
    </row>
    <row r="217" spans="1:24" hidden="1" outlineLevel="1" x14ac:dyDescent="0.3">
      <c r="A217" s="363"/>
      <c r="B217" s="348"/>
      <c r="C217" s="7" t="s">
        <v>192</v>
      </c>
      <c r="D217" s="7" t="s">
        <v>185</v>
      </c>
      <c r="E217" s="21" t="s">
        <v>197</v>
      </c>
      <c r="F217" s="351"/>
      <c r="G217" s="354"/>
      <c r="H217" s="357"/>
      <c r="I217" s="12">
        <v>4273</v>
      </c>
      <c r="J217" s="18" t="str">
        <f t="shared" si="46"/>
        <v>SPT021UG1/GGIO1.Ind14</v>
      </c>
      <c r="K217" s="23" t="s">
        <v>92</v>
      </c>
      <c r="L217" s="9" t="s">
        <v>244</v>
      </c>
      <c r="M217" t="s">
        <v>98</v>
      </c>
      <c r="S217">
        <f t="shared" si="44"/>
        <v>178</v>
      </c>
      <c r="T217" t="str">
        <f t="shared" si="45"/>
        <v>lb_dd178</v>
      </c>
      <c r="X217">
        <v>45</v>
      </c>
    </row>
    <row r="218" spans="1:24" hidden="1" outlineLevel="1" x14ac:dyDescent="0.3">
      <c r="A218" s="363"/>
      <c r="B218" s="348"/>
      <c r="C218" s="7" t="s">
        <v>193</v>
      </c>
      <c r="D218" s="7" t="s">
        <v>186</v>
      </c>
      <c r="E218" s="21" t="s">
        <v>10</v>
      </c>
      <c r="F218" s="351"/>
      <c r="G218" s="354"/>
      <c r="H218" s="357"/>
      <c r="I218" s="12">
        <v>4274</v>
      </c>
      <c r="J218" s="18" t="str">
        <f t="shared" si="46"/>
        <v>SPT021UG1/GGIO1.Ind15</v>
      </c>
      <c r="K218" s="23" t="s">
        <v>92</v>
      </c>
      <c r="L218" s="9" t="s">
        <v>244</v>
      </c>
      <c r="M218" t="s">
        <v>99</v>
      </c>
      <c r="S218">
        <f t="shared" si="44"/>
        <v>179</v>
      </c>
      <c r="T218" t="str">
        <f t="shared" si="45"/>
        <v>lb_dd179</v>
      </c>
      <c r="X218">
        <v>46</v>
      </c>
    </row>
    <row r="219" spans="1:24" hidden="1" outlineLevel="1" x14ac:dyDescent="0.3">
      <c r="A219" s="363"/>
      <c r="B219" s="348"/>
      <c r="C219" s="20" t="s">
        <v>194</v>
      </c>
      <c r="D219" s="7" t="s">
        <v>187</v>
      </c>
      <c r="E219" s="21" t="s">
        <v>10</v>
      </c>
      <c r="F219" s="351"/>
      <c r="G219" s="354"/>
      <c r="H219" s="357"/>
      <c r="I219" s="12">
        <v>4275</v>
      </c>
      <c r="J219" s="18" t="str">
        <f t="shared" si="46"/>
        <v>SPT021UG1/GGIO1.Ind16</v>
      </c>
      <c r="K219" s="23" t="s">
        <v>92</v>
      </c>
      <c r="L219" s="9" t="s">
        <v>244</v>
      </c>
      <c r="M219" t="s">
        <v>100</v>
      </c>
      <c r="S219">
        <f t="shared" si="44"/>
        <v>180</v>
      </c>
      <c r="T219" t="str">
        <f t="shared" si="45"/>
        <v>lb_dd180</v>
      </c>
      <c r="X219">
        <v>47</v>
      </c>
    </row>
    <row r="220" spans="1:24" hidden="1" outlineLevel="1" x14ac:dyDescent="0.3">
      <c r="A220" s="363"/>
      <c r="B220" s="348"/>
      <c r="C220" s="20" t="s">
        <v>195</v>
      </c>
      <c r="D220" s="7" t="s">
        <v>188</v>
      </c>
      <c r="E220" s="21" t="s">
        <v>10</v>
      </c>
      <c r="F220" s="351"/>
      <c r="G220" s="354"/>
      <c r="H220" s="357"/>
      <c r="I220" s="12">
        <v>4276</v>
      </c>
      <c r="J220" s="18" t="str">
        <f t="shared" si="46"/>
        <v>SPT021UG1/GGIO1.Ind17</v>
      </c>
      <c r="K220" s="23" t="s">
        <v>92</v>
      </c>
      <c r="L220" s="9" t="s">
        <v>244</v>
      </c>
      <c r="M220" t="s">
        <v>101</v>
      </c>
      <c r="S220">
        <f t="shared" si="44"/>
        <v>181</v>
      </c>
      <c r="T220" t="str">
        <f t="shared" si="45"/>
        <v>lb_dd181</v>
      </c>
      <c r="X220">
        <v>48</v>
      </c>
    </row>
    <row r="221" spans="1:24" hidden="1" outlineLevel="1" x14ac:dyDescent="0.3">
      <c r="A221" s="363"/>
      <c r="B221" s="348"/>
      <c r="C221" s="20" t="s">
        <v>196</v>
      </c>
      <c r="D221" s="7" t="s">
        <v>189</v>
      </c>
      <c r="E221" s="21" t="s">
        <v>10</v>
      </c>
      <c r="F221" s="351"/>
      <c r="G221" s="354"/>
      <c r="H221" s="357"/>
      <c r="I221" s="12">
        <v>4277</v>
      </c>
      <c r="J221" s="18" t="str">
        <f t="shared" si="46"/>
        <v>SPT021UG1/GGIO1.Ind18</v>
      </c>
      <c r="K221" s="23" t="s">
        <v>92</v>
      </c>
      <c r="L221" s="9" t="s">
        <v>244</v>
      </c>
      <c r="M221" t="s">
        <v>102</v>
      </c>
      <c r="S221">
        <f t="shared" si="44"/>
        <v>182</v>
      </c>
      <c r="T221" t="str">
        <f t="shared" si="45"/>
        <v>lb_dd182</v>
      </c>
      <c r="X221">
        <v>49</v>
      </c>
    </row>
    <row r="222" spans="1:24" hidden="1" outlineLevel="1" x14ac:dyDescent="0.3">
      <c r="A222" s="363"/>
      <c r="B222" s="348"/>
      <c r="C222" s="7" t="s">
        <v>198</v>
      </c>
      <c r="D222" s="7" t="s">
        <v>136</v>
      </c>
      <c r="E222" s="21" t="s">
        <v>4</v>
      </c>
      <c r="F222" s="352"/>
      <c r="G222" s="354"/>
      <c r="H222" s="358"/>
      <c r="I222" s="12">
        <v>4278</v>
      </c>
      <c r="J222" s="18" t="str">
        <f t="shared" si="46"/>
        <v>SPT021UG1/GGIO1.Alm31</v>
      </c>
      <c r="K222" s="23" t="s">
        <v>92</v>
      </c>
      <c r="L222" s="9" t="s">
        <v>244</v>
      </c>
      <c r="M222" s="34" t="s">
        <v>243</v>
      </c>
      <c r="S222">
        <f t="shared" si="44"/>
        <v>183</v>
      </c>
      <c r="T222" t="str">
        <f t="shared" si="45"/>
        <v>lb_dd183</v>
      </c>
      <c r="X222">
        <v>50</v>
      </c>
    </row>
    <row r="223" spans="1:24" hidden="1" outlineLevel="1" x14ac:dyDescent="0.3">
      <c r="A223" s="363"/>
      <c r="B223" s="348"/>
      <c r="C223" s="20">
        <v>26</v>
      </c>
      <c r="D223" s="14" t="s">
        <v>199</v>
      </c>
      <c r="E223" s="3" t="s">
        <v>35</v>
      </c>
      <c r="F223" s="350" t="s">
        <v>30</v>
      </c>
      <c r="G223" s="354"/>
      <c r="H223" s="353" t="s">
        <v>59</v>
      </c>
      <c r="I223" s="12">
        <v>8788</v>
      </c>
      <c r="J223" s="18" t="str">
        <f t="shared" si="46"/>
        <v>SPT021UG1/Ut2_MMXN1.Vol</v>
      </c>
      <c r="K223" s="23" t="s">
        <v>92</v>
      </c>
      <c r="L223" s="9" t="s">
        <v>269</v>
      </c>
      <c r="M223" t="s">
        <v>267</v>
      </c>
    </row>
    <row r="224" spans="1:24" hidden="1" outlineLevel="1" x14ac:dyDescent="0.3">
      <c r="A224" s="363"/>
      <c r="B224" s="348"/>
      <c r="C224" s="20">
        <v>28</v>
      </c>
      <c r="D224" s="14" t="s">
        <v>200</v>
      </c>
      <c r="E224" s="3" t="s">
        <v>35</v>
      </c>
      <c r="F224" s="351"/>
      <c r="G224" s="354"/>
      <c r="H224" s="354"/>
      <c r="I224" s="12">
        <v>8790</v>
      </c>
      <c r="J224" s="18" t="str">
        <f t="shared" si="46"/>
        <v>SPT021UG1/It_MMXN2.Amp</v>
      </c>
      <c r="K224" s="23" t="s">
        <v>92</v>
      </c>
      <c r="L224" s="9" t="s">
        <v>270</v>
      </c>
      <c r="M224" t="s">
        <v>268</v>
      </c>
    </row>
    <row r="225" spans="1:24" hidden="1" outlineLevel="1" x14ac:dyDescent="0.3">
      <c r="A225" s="363"/>
      <c r="B225" s="348"/>
      <c r="C225" s="7">
        <v>30</v>
      </c>
      <c r="D225" s="14" t="s">
        <v>201</v>
      </c>
      <c r="E225" s="3" t="s">
        <v>35</v>
      </c>
      <c r="F225" s="351"/>
      <c r="G225" s="354"/>
      <c r="H225" s="354"/>
      <c r="I225" s="12">
        <v>8792</v>
      </c>
      <c r="J225" s="18" t="str">
        <f t="shared" si="46"/>
        <v>SPT021UG1/Ut1_MMXN3.Vol</v>
      </c>
      <c r="K225" s="23" t="s">
        <v>92</v>
      </c>
      <c r="L225" s="9" t="s">
        <v>271</v>
      </c>
      <c r="M225" t="s">
        <v>267</v>
      </c>
    </row>
    <row r="226" spans="1:24" hidden="1" outlineLevel="1" x14ac:dyDescent="0.3">
      <c r="A226" s="363"/>
      <c r="B226" s="348"/>
      <c r="C226" s="7">
        <v>32</v>
      </c>
      <c r="D226" s="14" t="s">
        <v>202</v>
      </c>
      <c r="E226" s="3" t="s">
        <v>35</v>
      </c>
      <c r="F226" s="351"/>
      <c r="G226" s="354"/>
      <c r="H226" s="354"/>
      <c r="I226" s="12">
        <v>8794</v>
      </c>
      <c r="J226" s="18" t="str">
        <f t="shared" si="46"/>
        <v>SPT021UG1/Ib_MMXN4.Amp</v>
      </c>
      <c r="K226" s="23" t="s">
        <v>92</v>
      </c>
      <c r="L226" s="9" t="s">
        <v>272</v>
      </c>
      <c r="M226" t="s">
        <v>268</v>
      </c>
    </row>
    <row r="227" spans="1:24" hidden="1" outlineLevel="1" x14ac:dyDescent="0.3">
      <c r="A227" s="364"/>
      <c r="B227" s="349"/>
      <c r="C227" s="7">
        <v>34</v>
      </c>
      <c r="D227" s="14" t="s">
        <v>203</v>
      </c>
      <c r="E227" s="3" t="s">
        <v>35</v>
      </c>
      <c r="F227" s="352"/>
      <c r="G227" s="355"/>
      <c r="H227" s="355"/>
      <c r="I227" s="12">
        <v>8796</v>
      </c>
      <c r="J227" s="18" t="str">
        <f t="shared" si="46"/>
        <v>SPT021UG1/GGIO2.AnIn</v>
      </c>
      <c r="K227" s="23" t="s">
        <v>92</v>
      </c>
      <c r="L227" s="9" t="s">
        <v>245</v>
      </c>
      <c r="M227" t="s">
        <v>266</v>
      </c>
    </row>
    <row r="228" spans="1:24" collapsed="1" x14ac:dyDescent="0.3">
      <c r="A228" s="342"/>
      <c r="B228" s="343"/>
      <c r="C228" s="343"/>
      <c r="D228" s="343"/>
      <c r="E228" s="343"/>
      <c r="F228" s="343"/>
      <c r="G228" s="343"/>
      <c r="H228" s="343"/>
      <c r="I228" s="343"/>
      <c r="J228" s="344"/>
    </row>
    <row r="229" spans="1:24" x14ac:dyDescent="0.3">
      <c r="A229" s="345" t="s">
        <v>290</v>
      </c>
      <c r="B229" s="345"/>
      <c r="C229" s="345"/>
      <c r="D229" s="345"/>
      <c r="E229" s="345"/>
      <c r="F229" s="345"/>
      <c r="G229" s="345"/>
      <c r="H229" s="345"/>
      <c r="I229" s="345"/>
      <c r="J229" s="345"/>
    </row>
    <row r="230" spans="1:24" hidden="1" outlineLevel="1" x14ac:dyDescent="0.3">
      <c r="A230" s="346">
        <v>2</v>
      </c>
      <c r="B230" s="347" t="s">
        <v>3</v>
      </c>
      <c r="C230" s="20" t="s">
        <v>103</v>
      </c>
      <c r="D230" s="20" t="s">
        <v>115</v>
      </c>
      <c r="E230" s="21" t="s">
        <v>2</v>
      </c>
      <c r="F230" s="350" t="s">
        <v>28</v>
      </c>
      <c r="G230" s="353" t="s">
        <v>339</v>
      </c>
      <c r="H230" s="356" t="s">
        <v>59</v>
      </c>
      <c r="I230" s="22">
        <v>4279</v>
      </c>
      <c r="J230" s="18" t="str">
        <f>IF(OR(D230="",D230="-"),"",CONCATENATE("SPT021",K230,"/",L230,".",M230))</f>
        <v>SPT021UG2/GGIO1.Ind1</v>
      </c>
      <c r="K230" s="23" t="s">
        <v>265</v>
      </c>
      <c r="L230" s="9" t="s">
        <v>244</v>
      </c>
      <c r="M230" t="s">
        <v>36</v>
      </c>
      <c r="S230">
        <f t="shared" ref="S230:S279" si="47">I230-4095</f>
        <v>184</v>
      </c>
      <c r="T230" t="str">
        <f t="shared" ref="T230:T279" si="48">_xlfn.CONCAT($T$1,S230)</f>
        <v>lb_dd184</v>
      </c>
      <c r="X230">
        <v>1</v>
      </c>
    </row>
    <row r="231" spans="1:24" hidden="1" outlineLevel="1" x14ac:dyDescent="0.3">
      <c r="A231" s="346"/>
      <c r="B231" s="348"/>
      <c r="C231" s="7" t="s">
        <v>104</v>
      </c>
      <c r="D231" s="7" t="s">
        <v>116</v>
      </c>
      <c r="E231" s="21" t="s">
        <v>2</v>
      </c>
      <c r="F231" s="351"/>
      <c r="G231" s="354"/>
      <c r="H231" s="357"/>
      <c r="I231" s="12">
        <v>4280</v>
      </c>
      <c r="J231" s="18" t="str">
        <f t="shared" ref="J231:J284" si="49">IF(OR(D231="",D231="-"),"",CONCATENATE("SPT021",K231,"/",L231,".",M231))</f>
        <v>SPT021UG2/GGIO1.Ind2</v>
      </c>
      <c r="K231" s="23" t="s">
        <v>265</v>
      </c>
      <c r="L231" s="9" t="s">
        <v>244</v>
      </c>
      <c r="M231" t="s">
        <v>38</v>
      </c>
      <c r="S231">
        <f t="shared" si="47"/>
        <v>185</v>
      </c>
      <c r="T231" t="str">
        <f t="shared" si="48"/>
        <v>lb_dd185</v>
      </c>
      <c r="X231">
        <v>2</v>
      </c>
    </row>
    <row r="232" spans="1:24" hidden="1" outlineLevel="1" x14ac:dyDescent="0.3">
      <c r="A232" s="346"/>
      <c r="B232" s="348"/>
      <c r="C232" s="7" t="s">
        <v>105</v>
      </c>
      <c r="D232" s="7" t="s">
        <v>117</v>
      </c>
      <c r="E232" s="21" t="s">
        <v>2</v>
      </c>
      <c r="F232" s="351"/>
      <c r="G232" s="354"/>
      <c r="H232" s="357"/>
      <c r="I232" s="12">
        <v>4281</v>
      </c>
      <c r="J232" s="18" t="str">
        <f t="shared" si="49"/>
        <v>SPT021UG2/GGIO1.Ind3</v>
      </c>
      <c r="K232" s="23" t="s">
        <v>265</v>
      </c>
      <c r="L232" s="9" t="s">
        <v>244</v>
      </c>
      <c r="M232" t="s">
        <v>40</v>
      </c>
      <c r="S232">
        <f t="shared" si="47"/>
        <v>186</v>
      </c>
      <c r="T232" t="str">
        <f t="shared" si="48"/>
        <v>lb_dd186</v>
      </c>
      <c r="X232">
        <v>3</v>
      </c>
    </row>
    <row r="233" spans="1:24" hidden="1" outlineLevel="1" x14ac:dyDescent="0.3">
      <c r="A233" s="346"/>
      <c r="B233" s="348"/>
      <c r="C233" s="20" t="s">
        <v>106</v>
      </c>
      <c r="D233" s="7" t="s">
        <v>118</v>
      </c>
      <c r="E233" s="21" t="s">
        <v>2</v>
      </c>
      <c r="F233" s="351"/>
      <c r="G233" s="354"/>
      <c r="H233" s="357"/>
      <c r="I233" s="12">
        <v>4282</v>
      </c>
      <c r="J233" s="18" t="str">
        <f t="shared" si="49"/>
        <v>SPT021UG2/GGIO1.Ind4</v>
      </c>
      <c r="K233" s="23" t="s">
        <v>265</v>
      </c>
      <c r="L233" s="9" t="s">
        <v>244</v>
      </c>
      <c r="M233" t="s">
        <v>42</v>
      </c>
      <c r="S233">
        <f t="shared" si="47"/>
        <v>187</v>
      </c>
      <c r="T233" t="str">
        <f t="shared" si="48"/>
        <v>lb_dd187</v>
      </c>
      <c r="X233">
        <v>4</v>
      </c>
    </row>
    <row r="234" spans="1:24" hidden="1" outlineLevel="1" x14ac:dyDescent="0.3">
      <c r="A234" s="346"/>
      <c r="B234" s="348"/>
      <c r="C234" s="20" t="s">
        <v>107</v>
      </c>
      <c r="D234" s="7" t="s">
        <v>119</v>
      </c>
      <c r="E234" s="21" t="s">
        <v>2</v>
      </c>
      <c r="F234" s="351"/>
      <c r="G234" s="354"/>
      <c r="H234" s="357"/>
      <c r="I234" s="12">
        <v>4283</v>
      </c>
      <c r="J234" s="18" t="str">
        <f t="shared" si="49"/>
        <v>SPT021UG2/GGIO1.Ind5</v>
      </c>
      <c r="K234" s="23" t="s">
        <v>265</v>
      </c>
      <c r="L234" s="9" t="s">
        <v>244</v>
      </c>
      <c r="M234" t="s">
        <v>44</v>
      </c>
      <c r="S234">
        <f t="shared" si="47"/>
        <v>188</v>
      </c>
      <c r="T234" t="str">
        <f t="shared" si="48"/>
        <v>lb_dd188</v>
      </c>
      <c r="X234">
        <v>5</v>
      </c>
    </row>
    <row r="235" spans="1:24" hidden="1" outlineLevel="1" x14ac:dyDescent="0.3">
      <c r="A235" s="346"/>
      <c r="B235" s="348"/>
      <c r="C235" s="20" t="s">
        <v>108</v>
      </c>
      <c r="D235" s="7" t="s">
        <v>120</v>
      </c>
      <c r="E235" s="21" t="s">
        <v>10</v>
      </c>
      <c r="F235" s="351"/>
      <c r="G235" s="354"/>
      <c r="H235" s="357"/>
      <c r="I235" s="12">
        <v>4284</v>
      </c>
      <c r="J235" s="18" t="str">
        <f t="shared" si="49"/>
        <v>SPT021UG2/GGIO1.Ind6</v>
      </c>
      <c r="K235" s="23" t="s">
        <v>265</v>
      </c>
      <c r="L235" s="9" t="s">
        <v>244</v>
      </c>
      <c r="M235" t="s">
        <v>46</v>
      </c>
      <c r="S235">
        <f t="shared" si="47"/>
        <v>189</v>
      </c>
      <c r="T235" t="str">
        <f t="shared" si="48"/>
        <v>lb_dd189</v>
      </c>
      <c r="X235">
        <v>6</v>
      </c>
    </row>
    <row r="236" spans="1:24" hidden="1" outlineLevel="1" x14ac:dyDescent="0.3">
      <c r="A236" s="346"/>
      <c r="B236" s="348"/>
      <c r="C236" s="20" t="s">
        <v>109</v>
      </c>
      <c r="D236" s="7" t="s">
        <v>121</v>
      </c>
      <c r="E236" s="21" t="s">
        <v>10</v>
      </c>
      <c r="F236" s="351"/>
      <c r="G236" s="354"/>
      <c r="H236" s="357"/>
      <c r="I236" s="12">
        <v>4285</v>
      </c>
      <c r="J236" s="18" t="str">
        <f t="shared" si="49"/>
        <v>SPT021UG2/GGIO1.Alm1</v>
      </c>
      <c r="K236" s="23" t="s">
        <v>265</v>
      </c>
      <c r="L236" s="9" t="s">
        <v>244</v>
      </c>
      <c r="M236" s="34" t="s">
        <v>37</v>
      </c>
      <c r="S236">
        <f t="shared" si="47"/>
        <v>190</v>
      </c>
      <c r="T236" t="str">
        <f t="shared" si="48"/>
        <v>lb_dd190</v>
      </c>
      <c r="X236">
        <v>7</v>
      </c>
    </row>
    <row r="237" spans="1:24" hidden="1" outlineLevel="1" x14ac:dyDescent="0.3">
      <c r="A237" s="346"/>
      <c r="B237" s="348"/>
      <c r="C237" s="20" t="s">
        <v>110</v>
      </c>
      <c r="D237" s="7" t="s">
        <v>122</v>
      </c>
      <c r="E237" s="21" t="s">
        <v>10</v>
      </c>
      <c r="F237" s="351"/>
      <c r="G237" s="354"/>
      <c r="H237" s="357"/>
      <c r="I237" s="12">
        <v>4286</v>
      </c>
      <c r="J237" s="18" t="str">
        <f t="shared" si="49"/>
        <v>SPT021UG2/GGIO1.Alm2</v>
      </c>
      <c r="K237" s="23" t="s">
        <v>265</v>
      </c>
      <c r="L237" s="9" t="s">
        <v>244</v>
      </c>
      <c r="M237" s="34" t="s">
        <v>39</v>
      </c>
      <c r="S237">
        <f t="shared" si="47"/>
        <v>191</v>
      </c>
      <c r="T237" t="str">
        <f t="shared" si="48"/>
        <v>lb_dd191</v>
      </c>
      <c r="X237">
        <v>8</v>
      </c>
    </row>
    <row r="238" spans="1:24" hidden="1" outlineLevel="1" x14ac:dyDescent="0.3">
      <c r="A238" s="346"/>
      <c r="B238" s="348"/>
      <c r="C238" s="20" t="s">
        <v>111</v>
      </c>
      <c r="D238" s="7" t="s">
        <v>123</v>
      </c>
      <c r="E238" s="21" t="s">
        <v>4</v>
      </c>
      <c r="F238" s="351"/>
      <c r="G238" s="354"/>
      <c r="H238" s="357"/>
      <c r="I238" s="12">
        <v>4287</v>
      </c>
      <c r="J238" s="18" t="str">
        <f t="shared" si="49"/>
        <v>SPT021UG2/GGIO1.Alm3</v>
      </c>
      <c r="K238" s="23" t="s">
        <v>265</v>
      </c>
      <c r="L238" s="9" t="s">
        <v>244</v>
      </c>
      <c r="M238" s="34" t="s">
        <v>41</v>
      </c>
      <c r="S238">
        <f t="shared" si="47"/>
        <v>192</v>
      </c>
      <c r="T238" t="str">
        <f t="shared" si="48"/>
        <v>lb_dd192</v>
      </c>
      <c r="X238">
        <v>9</v>
      </c>
    </row>
    <row r="239" spans="1:24" hidden="1" outlineLevel="1" x14ac:dyDescent="0.3">
      <c r="A239" s="346"/>
      <c r="B239" s="348"/>
      <c r="C239" s="20" t="s">
        <v>112</v>
      </c>
      <c r="D239" s="7" t="s">
        <v>124</v>
      </c>
      <c r="E239" s="21" t="s">
        <v>2</v>
      </c>
      <c r="F239" s="351"/>
      <c r="G239" s="354"/>
      <c r="H239" s="357"/>
      <c r="I239" s="12">
        <v>4288</v>
      </c>
      <c r="J239" s="18" t="str">
        <f t="shared" si="49"/>
        <v>SPT021UG2/GGIO1.Ind7</v>
      </c>
      <c r="K239" s="23" t="s">
        <v>265</v>
      </c>
      <c r="L239" s="9" t="s">
        <v>244</v>
      </c>
      <c r="M239" t="s">
        <v>48</v>
      </c>
      <c r="S239">
        <f t="shared" si="47"/>
        <v>193</v>
      </c>
      <c r="T239" t="str">
        <f t="shared" si="48"/>
        <v>lb_dd193</v>
      </c>
      <c r="X239">
        <v>10</v>
      </c>
    </row>
    <row r="240" spans="1:24" hidden="1" outlineLevel="1" x14ac:dyDescent="0.3">
      <c r="A240" s="346"/>
      <c r="B240" s="348"/>
      <c r="C240" s="20" t="s">
        <v>113</v>
      </c>
      <c r="D240" s="7" t="s">
        <v>125</v>
      </c>
      <c r="E240" s="21" t="s">
        <v>4</v>
      </c>
      <c r="F240" s="351"/>
      <c r="G240" s="354"/>
      <c r="H240" s="357"/>
      <c r="I240" s="12">
        <v>4289</v>
      </c>
      <c r="J240" s="18" t="str">
        <f t="shared" si="49"/>
        <v>SPT021UG2/GGIO1.Alm4</v>
      </c>
      <c r="K240" s="23" t="s">
        <v>265</v>
      </c>
      <c r="L240" s="9" t="s">
        <v>244</v>
      </c>
      <c r="M240" s="34" t="s">
        <v>43</v>
      </c>
      <c r="S240">
        <f t="shared" si="47"/>
        <v>194</v>
      </c>
      <c r="T240" t="str">
        <f t="shared" si="48"/>
        <v>lb_dd194</v>
      </c>
      <c r="X240">
        <v>11</v>
      </c>
    </row>
    <row r="241" spans="1:24" hidden="1" outlineLevel="1" x14ac:dyDescent="0.3">
      <c r="A241" s="346"/>
      <c r="B241" s="348"/>
      <c r="C241" s="20" t="s">
        <v>114</v>
      </c>
      <c r="D241" s="7" t="s">
        <v>126</v>
      </c>
      <c r="E241" s="21" t="s">
        <v>2</v>
      </c>
      <c r="F241" s="351"/>
      <c r="G241" s="354"/>
      <c r="H241" s="357"/>
      <c r="I241" s="12">
        <v>4290</v>
      </c>
      <c r="J241" s="18" t="str">
        <f t="shared" si="49"/>
        <v>SPT021UG2/GGIO1.Ind8</v>
      </c>
      <c r="K241" s="23" t="s">
        <v>265</v>
      </c>
      <c r="L241" s="9" t="s">
        <v>244</v>
      </c>
      <c r="M241" t="s">
        <v>55</v>
      </c>
      <c r="S241">
        <f t="shared" si="47"/>
        <v>195</v>
      </c>
      <c r="T241" t="str">
        <f t="shared" si="48"/>
        <v>lb_dd195</v>
      </c>
      <c r="X241">
        <v>12</v>
      </c>
    </row>
    <row r="242" spans="1:24" hidden="1" outlineLevel="1" x14ac:dyDescent="0.3">
      <c r="A242" s="346"/>
      <c r="B242" s="348"/>
      <c r="C242" s="20" t="s">
        <v>127</v>
      </c>
      <c r="D242" s="7" t="s">
        <v>136</v>
      </c>
      <c r="E242" s="21" t="s">
        <v>4</v>
      </c>
      <c r="F242" s="351"/>
      <c r="G242" s="354"/>
      <c r="H242" s="357"/>
      <c r="I242" s="12">
        <v>4291</v>
      </c>
      <c r="J242" s="18" t="str">
        <f t="shared" si="49"/>
        <v>SPT021UG2/GGIO1.Alm5</v>
      </c>
      <c r="K242" s="23" t="s">
        <v>265</v>
      </c>
      <c r="L242" s="9" t="s">
        <v>244</v>
      </c>
      <c r="M242" s="34" t="s">
        <v>45</v>
      </c>
      <c r="S242">
        <f t="shared" si="47"/>
        <v>196</v>
      </c>
      <c r="T242" t="str">
        <f t="shared" si="48"/>
        <v>lb_dd196</v>
      </c>
      <c r="X242">
        <v>13</v>
      </c>
    </row>
    <row r="243" spans="1:24" hidden="1" outlineLevel="1" x14ac:dyDescent="0.3">
      <c r="A243" s="346"/>
      <c r="B243" s="348"/>
      <c r="C243" s="20" t="s">
        <v>128</v>
      </c>
      <c r="D243" s="7" t="s">
        <v>137</v>
      </c>
      <c r="E243" s="21" t="s">
        <v>4</v>
      </c>
      <c r="F243" s="351"/>
      <c r="G243" s="354"/>
      <c r="H243" s="357"/>
      <c r="I243" s="12">
        <v>4292</v>
      </c>
      <c r="J243" s="18" t="str">
        <f t="shared" si="49"/>
        <v>SPT021UG2/GGIO1.Alm6</v>
      </c>
      <c r="K243" s="23" t="s">
        <v>265</v>
      </c>
      <c r="L243" s="9" t="s">
        <v>244</v>
      </c>
      <c r="M243" s="34" t="s">
        <v>47</v>
      </c>
      <c r="S243">
        <f t="shared" si="47"/>
        <v>197</v>
      </c>
      <c r="T243" t="str">
        <f t="shared" si="48"/>
        <v>lb_dd197</v>
      </c>
      <c r="X243">
        <v>14</v>
      </c>
    </row>
    <row r="244" spans="1:24" hidden="1" outlineLevel="1" x14ac:dyDescent="0.3">
      <c r="A244" s="346"/>
      <c r="B244" s="348"/>
      <c r="C244" s="20" t="s">
        <v>129</v>
      </c>
      <c r="D244" s="7" t="s">
        <v>138</v>
      </c>
      <c r="E244" s="21" t="s">
        <v>4</v>
      </c>
      <c r="F244" s="351"/>
      <c r="G244" s="354"/>
      <c r="H244" s="357"/>
      <c r="I244" s="12">
        <v>4293</v>
      </c>
      <c r="J244" s="18" t="str">
        <f t="shared" si="49"/>
        <v>SPT021UG2/GGIO1.Alm7</v>
      </c>
      <c r="K244" s="23" t="s">
        <v>265</v>
      </c>
      <c r="L244" s="9" t="s">
        <v>244</v>
      </c>
      <c r="M244" s="34" t="s">
        <v>49</v>
      </c>
      <c r="S244">
        <f t="shared" si="47"/>
        <v>198</v>
      </c>
      <c r="T244" t="str">
        <f t="shared" si="48"/>
        <v>lb_dd198</v>
      </c>
      <c r="X244">
        <v>15</v>
      </c>
    </row>
    <row r="245" spans="1:24" hidden="1" outlineLevel="1" x14ac:dyDescent="0.3">
      <c r="A245" s="346"/>
      <c r="B245" s="348"/>
      <c r="C245" s="20" t="s">
        <v>130</v>
      </c>
      <c r="D245" s="63" t="s">
        <v>29</v>
      </c>
      <c r="E245" s="63" t="s">
        <v>29</v>
      </c>
      <c r="F245" s="351"/>
      <c r="G245" s="354"/>
      <c r="H245" s="357"/>
      <c r="I245" s="63" t="s">
        <v>342</v>
      </c>
      <c r="J245" s="18" t="str">
        <f t="shared" si="49"/>
        <v/>
      </c>
      <c r="S245">
        <f t="shared" si="47"/>
        <v>199</v>
      </c>
      <c r="T245" t="str">
        <f t="shared" si="48"/>
        <v>lb_dd199</v>
      </c>
      <c r="X245">
        <v>16</v>
      </c>
    </row>
    <row r="246" spans="1:24" hidden="1" outlineLevel="1" x14ac:dyDescent="0.3">
      <c r="A246" s="346"/>
      <c r="B246" s="348"/>
      <c r="C246" s="20" t="s">
        <v>131</v>
      </c>
      <c r="D246" s="7" t="s">
        <v>139</v>
      </c>
      <c r="E246" s="21" t="s">
        <v>4</v>
      </c>
      <c r="F246" s="351"/>
      <c r="G246" s="354"/>
      <c r="H246" s="357"/>
      <c r="I246" s="12">
        <v>4295</v>
      </c>
      <c r="J246" s="18" t="str">
        <f t="shared" si="49"/>
        <v>SPT021UG2/GGIO1.Alm8</v>
      </c>
      <c r="K246" s="23" t="s">
        <v>265</v>
      </c>
      <c r="L246" s="9" t="s">
        <v>244</v>
      </c>
      <c r="M246" s="34" t="s">
        <v>56</v>
      </c>
      <c r="S246">
        <f t="shared" si="47"/>
        <v>200</v>
      </c>
      <c r="T246" t="str">
        <f t="shared" si="48"/>
        <v>lb_dd200</v>
      </c>
      <c r="X246">
        <v>17</v>
      </c>
    </row>
    <row r="247" spans="1:24" hidden="1" outlineLevel="1" x14ac:dyDescent="0.3">
      <c r="A247" s="346"/>
      <c r="B247" s="348"/>
      <c r="C247" s="20" t="s">
        <v>132</v>
      </c>
      <c r="D247" s="7" t="s">
        <v>140</v>
      </c>
      <c r="E247" s="21" t="s">
        <v>2</v>
      </c>
      <c r="F247" s="351"/>
      <c r="G247" s="354"/>
      <c r="H247" s="357"/>
      <c r="I247" s="12">
        <v>4296</v>
      </c>
      <c r="J247" s="18" t="str">
        <f t="shared" si="49"/>
        <v>SPT021UG2/GGIO1.Ind9</v>
      </c>
      <c r="K247" s="23" t="s">
        <v>265</v>
      </c>
      <c r="L247" s="9" t="s">
        <v>244</v>
      </c>
      <c r="M247" t="s">
        <v>93</v>
      </c>
      <c r="S247">
        <f t="shared" si="47"/>
        <v>201</v>
      </c>
      <c r="T247" t="str">
        <f t="shared" si="48"/>
        <v>lb_dd201</v>
      </c>
      <c r="X247">
        <v>18</v>
      </c>
    </row>
    <row r="248" spans="1:24" ht="15" hidden="1" customHeight="1" outlineLevel="1" x14ac:dyDescent="0.3">
      <c r="A248" s="346"/>
      <c r="B248" s="348"/>
      <c r="C248" s="20" t="s">
        <v>133</v>
      </c>
      <c r="D248" s="7" t="s">
        <v>141</v>
      </c>
      <c r="E248" s="21" t="s">
        <v>2</v>
      </c>
      <c r="F248" s="351"/>
      <c r="G248" s="354"/>
      <c r="H248" s="357"/>
      <c r="I248" s="12">
        <v>4297</v>
      </c>
      <c r="J248" s="18" t="str">
        <f t="shared" si="49"/>
        <v>SPT021UG2/GGIO1.Ind10</v>
      </c>
      <c r="K248" s="23" t="s">
        <v>265</v>
      </c>
      <c r="L248" s="9" t="s">
        <v>244</v>
      </c>
      <c r="M248" t="s">
        <v>94</v>
      </c>
      <c r="S248">
        <f t="shared" si="47"/>
        <v>202</v>
      </c>
      <c r="T248" t="str">
        <f t="shared" si="48"/>
        <v>lb_dd202</v>
      </c>
      <c r="X248">
        <v>19</v>
      </c>
    </row>
    <row r="249" spans="1:24" hidden="1" outlineLevel="1" x14ac:dyDescent="0.3">
      <c r="A249" s="346"/>
      <c r="B249" s="348"/>
      <c r="C249" s="20" t="s">
        <v>134</v>
      </c>
      <c r="D249" s="7" t="s">
        <v>142</v>
      </c>
      <c r="E249" s="21" t="s">
        <v>2</v>
      </c>
      <c r="F249" s="351"/>
      <c r="G249" s="354"/>
      <c r="H249" s="357"/>
      <c r="I249" s="12">
        <v>4298</v>
      </c>
      <c r="J249" s="18" t="str">
        <f t="shared" si="49"/>
        <v>SPT021UG2/GGIO1.Ind11</v>
      </c>
      <c r="K249" s="23" t="s">
        <v>265</v>
      </c>
      <c r="L249" s="9" t="s">
        <v>244</v>
      </c>
      <c r="M249" t="s">
        <v>95</v>
      </c>
      <c r="S249">
        <f t="shared" si="47"/>
        <v>203</v>
      </c>
      <c r="T249" t="str">
        <f t="shared" si="48"/>
        <v>lb_dd203</v>
      </c>
      <c r="X249">
        <v>20</v>
      </c>
    </row>
    <row r="250" spans="1:24" hidden="1" outlineLevel="1" x14ac:dyDescent="0.3">
      <c r="A250" s="346"/>
      <c r="B250" s="348"/>
      <c r="C250" s="20" t="s">
        <v>135</v>
      </c>
      <c r="D250" s="7" t="s">
        <v>143</v>
      </c>
      <c r="E250" s="21" t="s">
        <v>10</v>
      </c>
      <c r="F250" s="351"/>
      <c r="G250" s="354"/>
      <c r="H250" s="357"/>
      <c r="I250" s="12">
        <v>4299</v>
      </c>
      <c r="J250" s="18" t="str">
        <f t="shared" si="49"/>
        <v>SPT021UG2/GGIO1.Ind12</v>
      </c>
      <c r="K250" s="23" t="s">
        <v>265</v>
      </c>
      <c r="L250" s="9" t="s">
        <v>244</v>
      </c>
      <c r="M250" t="s">
        <v>96</v>
      </c>
      <c r="S250">
        <f t="shared" si="47"/>
        <v>204</v>
      </c>
      <c r="T250" t="str">
        <f t="shared" si="48"/>
        <v>lb_dd204</v>
      </c>
      <c r="X250">
        <v>21</v>
      </c>
    </row>
    <row r="251" spans="1:24" hidden="1" outlineLevel="1" x14ac:dyDescent="0.3">
      <c r="A251" s="346"/>
      <c r="B251" s="348"/>
      <c r="C251" s="20" t="s">
        <v>144</v>
      </c>
      <c r="D251" s="7" t="s">
        <v>152</v>
      </c>
      <c r="E251" s="21" t="s">
        <v>4</v>
      </c>
      <c r="F251" s="351"/>
      <c r="G251" s="354"/>
      <c r="H251" s="357"/>
      <c r="I251" s="12">
        <v>4300</v>
      </c>
      <c r="J251" s="18" t="str">
        <f t="shared" si="49"/>
        <v>SPT021UG2/GGIO1.Alm9</v>
      </c>
      <c r="K251" s="23" t="s">
        <v>265</v>
      </c>
      <c r="L251" s="9" t="s">
        <v>244</v>
      </c>
      <c r="M251" s="34" t="s">
        <v>217</v>
      </c>
      <c r="S251">
        <f t="shared" si="47"/>
        <v>205</v>
      </c>
      <c r="T251" t="str">
        <f t="shared" si="48"/>
        <v>lb_dd205</v>
      </c>
      <c r="X251">
        <v>22</v>
      </c>
    </row>
    <row r="252" spans="1:24" hidden="1" outlineLevel="1" x14ac:dyDescent="0.3">
      <c r="A252" s="346"/>
      <c r="B252" s="348"/>
      <c r="C252" s="7" t="s">
        <v>145</v>
      </c>
      <c r="D252" s="7" t="s">
        <v>153</v>
      </c>
      <c r="E252" s="21" t="s">
        <v>4</v>
      </c>
      <c r="F252" s="351"/>
      <c r="G252" s="354"/>
      <c r="H252" s="357"/>
      <c r="I252" s="12">
        <v>4301</v>
      </c>
      <c r="J252" s="18" t="str">
        <f t="shared" si="49"/>
        <v>SPT021UG2/GGIO1.Alm10</v>
      </c>
      <c r="K252" s="23" t="s">
        <v>265</v>
      </c>
      <c r="L252" s="9" t="s">
        <v>244</v>
      </c>
      <c r="M252" s="34" t="s">
        <v>218</v>
      </c>
      <c r="S252">
        <f t="shared" si="47"/>
        <v>206</v>
      </c>
      <c r="T252" t="str">
        <f t="shared" si="48"/>
        <v>lb_dd206</v>
      </c>
      <c r="X252">
        <v>23</v>
      </c>
    </row>
    <row r="253" spans="1:24" hidden="1" outlineLevel="1" x14ac:dyDescent="0.3">
      <c r="A253" s="346"/>
      <c r="B253" s="348"/>
      <c r="C253" s="7" t="s">
        <v>146</v>
      </c>
      <c r="D253" s="7" t="s">
        <v>154</v>
      </c>
      <c r="E253" s="21" t="s">
        <v>4</v>
      </c>
      <c r="F253" s="351"/>
      <c r="G253" s="354"/>
      <c r="H253" s="357"/>
      <c r="I253" s="12">
        <v>4302</v>
      </c>
      <c r="J253" s="18" t="str">
        <f t="shared" si="49"/>
        <v>SPT021UG2/GGIO1.Alm11</v>
      </c>
      <c r="K253" s="23" t="s">
        <v>265</v>
      </c>
      <c r="L253" s="9" t="s">
        <v>244</v>
      </c>
      <c r="M253" s="34" t="s">
        <v>219</v>
      </c>
      <c r="S253">
        <f t="shared" si="47"/>
        <v>207</v>
      </c>
      <c r="T253" t="str">
        <f t="shared" si="48"/>
        <v>lb_dd207</v>
      </c>
      <c r="X253">
        <v>24</v>
      </c>
    </row>
    <row r="254" spans="1:24" hidden="1" outlineLevel="1" x14ac:dyDescent="0.3">
      <c r="A254" s="346"/>
      <c r="B254" s="348"/>
      <c r="C254" s="20" t="s">
        <v>147</v>
      </c>
      <c r="D254" s="7" t="s">
        <v>155</v>
      </c>
      <c r="E254" s="21" t="s">
        <v>4</v>
      </c>
      <c r="F254" s="351"/>
      <c r="G254" s="354"/>
      <c r="H254" s="357"/>
      <c r="I254" s="12">
        <v>4303</v>
      </c>
      <c r="J254" s="18" t="str">
        <f t="shared" si="49"/>
        <v>SPT021UG2/GGIO1.Alm12</v>
      </c>
      <c r="K254" s="23" t="s">
        <v>265</v>
      </c>
      <c r="L254" s="9" t="s">
        <v>244</v>
      </c>
      <c r="M254" s="34" t="s">
        <v>220</v>
      </c>
      <c r="S254">
        <f t="shared" si="47"/>
        <v>208</v>
      </c>
      <c r="T254" t="str">
        <f t="shared" si="48"/>
        <v>lb_dd208</v>
      </c>
      <c r="X254">
        <v>25</v>
      </c>
    </row>
    <row r="255" spans="1:24" hidden="1" outlineLevel="1" x14ac:dyDescent="0.3">
      <c r="A255" s="346"/>
      <c r="B255" s="348"/>
      <c r="C255" s="20" t="s">
        <v>148</v>
      </c>
      <c r="D255" s="7" t="s">
        <v>156</v>
      </c>
      <c r="E255" s="21" t="s">
        <v>4</v>
      </c>
      <c r="F255" s="351"/>
      <c r="G255" s="354"/>
      <c r="H255" s="357"/>
      <c r="I255" s="12">
        <v>4304</v>
      </c>
      <c r="J255" s="18" t="str">
        <f t="shared" si="49"/>
        <v>SPT021UG2/GGIO1.Alm13</v>
      </c>
      <c r="K255" s="23" t="s">
        <v>265</v>
      </c>
      <c r="L255" s="9" t="s">
        <v>244</v>
      </c>
      <c r="M255" s="34" t="s">
        <v>221</v>
      </c>
      <c r="S255">
        <f t="shared" si="47"/>
        <v>209</v>
      </c>
      <c r="T255" t="str">
        <f t="shared" si="48"/>
        <v>lb_dd209</v>
      </c>
      <c r="X255">
        <v>26</v>
      </c>
    </row>
    <row r="256" spans="1:24" hidden="1" outlineLevel="1" x14ac:dyDescent="0.3">
      <c r="A256" s="346"/>
      <c r="B256" s="348"/>
      <c r="C256" s="20" t="s">
        <v>149</v>
      </c>
      <c r="D256" s="7" t="s">
        <v>157</v>
      </c>
      <c r="E256" s="21" t="s">
        <v>4</v>
      </c>
      <c r="F256" s="351"/>
      <c r="G256" s="354"/>
      <c r="H256" s="357"/>
      <c r="I256" s="12">
        <v>4305</v>
      </c>
      <c r="J256" s="18" t="str">
        <f t="shared" si="49"/>
        <v>SPT021UG2/GGIO1.Alm14</v>
      </c>
      <c r="K256" s="23" t="s">
        <v>265</v>
      </c>
      <c r="L256" s="9" t="s">
        <v>244</v>
      </c>
      <c r="M256" s="34" t="s">
        <v>222</v>
      </c>
      <c r="S256">
        <f t="shared" si="47"/>
        <v>210</v>
      </c>
      <c r="T256" t="str">
        <f t="shared" si="48"/>
        <v>lb_dd210</v>
      </c>
      <c r="X256">
        <v>27</v>
      </c>
    </row>
    <row r="257" spans="1:24" hidden="1" outlineLevel="1" x14ac:dyDescent="0.3">
      <c r="A257" s="346"/>
      <c r="B257" s="348"/>
      <c r="C257" s="20" t="s">
        <v>150</v>
      </c>
      <c r="D257" s="7" t="s">
        <v>123</v>
      </c>
      <c r="E257" s="21" t="s">
        <v>4</v>
      </c>
      <c r="F257" s="351"/>
      <c r="G257" s="354"/>
      <c r="H257" s="357"/>
      <c r="I257" s="12">
        <v>4306</v>
      </c>
      <c r="J257" s="18" t="str">
        <f t="shared" si="49"/>
        <v>SPT021UG2/GGIO1.Alm15</v>
      </c>
      <c r="K257" s="23" t="s">
        <v>265</v>
      </c>
      <c r="L257" s="9" t="s">
        <v>244</v>
      </c>
      <c r="M257" s="34" t="s">
        <v>223</v>
      </c>
      <c r="S257">
        <f t="shared" si="47"/>
        <v>211</v>
      </c>
      <c r="T257" t="str">
        <f t="shared" si="48"/>
        <v>lb_dd211</v>
      </c>
      <c r="X257">
        <v>28</v>
      </c>
    </row>
    <row r="258" spans="1:24" hidden="1" outlineLevel="1" x14ac:dyDescent="0.3">
      <c r="A258" s="346"/>
      <c r="B258" s="348"/>
      <c r="C258" s="20" t="s">
        <v>151</v>
      </c>
      <c r="D258" s="7" t="s">
        <v>158</v>
      </c>
      <c r="E258" s="21" t="s">
        <v>4</v>
      </c>
      <c r="F258" s="351"/>
      <c r="G258" s="354"/>
      <c r="H258" s="357"/>
      <c r="I258" s="12">
        <v>4307</v>
      </c>
      <c r="J258" s="18" t="str">
        <f t="shared" si="49"/>
        <v>SPT021UG2/GGIO1.Alm16</v>
      </c>
      <c r="K258" s="23" t="s">
        <v>265</v>
      </c>
      <c r="L258" s="9" t="s">
        <v>244</v>
      </c>
      <c r="M258" s="34" t="s">
        <v>224</v>
      </c>
      <c r="S258">
        <f t="shared" si="47"/>
        <v>212</v>
      </c>
      <c r="T258" t="str">
        <f t="shared" si="48"/>
        <v>lb_dd212</v>
      </c>
      <c r="X258">
        <v>29</v>
      </c>
    </row>
    <row r="259" spans="1:24" hidden="1" outlineLevel="1" x14ac:dyDescent="0.3">
      <c r="A259" s="346"/>
      <c r="B259" s="348"/>
      <c r="C259" s="20" t="s">
        <v>159</v>
      </c>
      <c r="D259" s="7" t="s">
        <v>170</v>
      </c>
      <c r="E259" s="21" t="s">
        <v>4</v>
      </c>
      <c r="F259" s="351"/>
      <c r="G259" s="354"/>
      <c r="H259" s="357"/>
      <c r="I259" s="12">
        <v>4308</v>
      </c>
      <c r="J259" s="18" t="str">
        <f t="shared" si="49"/>
        <v>SPT021UG2/GGIO1.Alm17</v>
      </c>
      <c r="K259" s="23" t="s">
        <v>265</v>
      </c>
      <c r="L259" s="9" t="s">
        <v>244</v>
      </c>
      <c r="M259" s="34" t="s">
        <v>225</v>
      </c>
      <c r="S259">
        <f t="shared" si="47"/>
        <v>213</v>
      </c>
      <c r="T259" t="str">
        <f t="shared" si="48"/>
        <v>lb_dd213</v>
      </c>
      <c r="X259">
        <v>30</v>
      </c>
    </row>
    <row r="260" spans="1:24" hidden="1" outlineLevel="1" x14ac:dyDescent="0.3">
      <c r="A260" s="346"/>
      <c r="B260" s="348"/>
      <c r="C260" s="7" t="s">
        <v>160</v>
      </c>
      <c r="D260" s="7" t="s">
        <v>171</v>
      </c>
      <c r="E260" s="21" t="s">
        <v>4</v>
      </c>
      <c r="F260" s="351"/>
      <c r="G260" s="354"/>
      <c r="H260" s="357"/>
      <c r="I260" s="12">
        <v>4309</v>
      </c>
      <c r="J260" s="18" t="str">
        <f t="shared" si="49"/>
        <v>SPT021UG2/GGIO1.Alm18</v>
      </c>
      <c r="K260" s="23" t="s">
        <v>265</v>
      </c>
      <c r="L260" s="9" t="s">
        <v>244</v>
      </c>
      <c r="M260" s="34" t="s">
        <v>226</v>
      </c>
      <c r="S260">
        <f t="shared" si="47"/>
        <v>214</v>
      </c>
      <c r="T260" t="str">
        <f t="shared" si="48"/>
        <v>lb_dd214</v>
      </c>
      <c r="X260">
        <v>31</v>
      </c>
    </row>
    <row r="261" spans="1:24" hidden="1" outlineLevel="1" x14ac:dyDescent="0.3">
      <c r="A261" s="346"/>
      <c r="B261" s="348"/>
      <c r="C261" s="7" t="s">
        <v>161</v>
      </c>
      <c r="D261" s="7" t="s">
        <v>172</v>
      </c>
      <c r="E261" s="21" t="s">
        <v>4</v>
      </c>
      <c r="F261" s="351"/>
      <c r="G261" s="354"/>
      <c r="H261" s="357"/>
      <c r="I261" s="12">
        <v>4310</v>
      </c>
      <c r="J261" s="18" t="str">
        <f t="shared" si="49"/>
        <v>SPT021UG2/GGIO1.Alm19</v>
      </c>
      <c r="K261" s="23" t="s">
        <v>265</v>
      </c>
      <c r="L261" s="9" t="s">
        <v>244</v>
      </c>
      <c r="M261" s="34" t="s">
        <v>227</v>
      </c>
      <c r="S261">
        <f t="shared" si="47"/>
        <v>215</v>
      </c>
      <c r="T261" t="str">
        <f t="shared" si="48"/>
        <v>lb_dd215</v>
      </c>
      <c r="X261">
        <v>32</v>
      </c>
    </row>
    <row r="262" spans="1:24" hidden="1" outlineLevel="1" x14ac:dyDescent="0.3">
      <c r="A262" s="346"/>
      <c r="B262" s="348"/>
      <c r="C262" s="20" t="s">
        <v>162</v>
      </c>
      <c r="D262" s="7" t="s">
        <v>173</v>
      </c>
      <c r="E262" s="21" t="s">
        <v>4</v>
      </c>
      <c r="F262" s="351"/>
      <c r="G262" s="354"/>
      <c r="H262" s="357"/>
      <c r="I262" s="12">
        <v>4311</v>
      </c>
      <c r="J262" s="18" t="str">
        <f t="shared" si="49"/>
        <v>SPT021UG2/GGIO1.Alm20</v>
      </c>
      <c r="K262" s="23" t="s">
        <v>265</v>
      </c>
      <c r="L262" s="9" t="s">
        <v>244</v>
      </c>
      <c r="M262" s="34" t="s">
        <v>228</v>
      </c>
      <c r="S262">
        <f t="shared" si="47"/>
        <v>216</v>
      </c>
      <c r="T262" t="str">
        <f t="shared" si="48"/>
        <v>lb_dd216</v>
      </c>
      <c r="X262">
        <v>33</v>
      </c>
    </row>
    <row r="263" spans="1:24" hidden="1" outlineLevel="1" x14ac:dyDescent="0.3">
      <c r="A263" s="346"/>
      <c r="B263" s="348"/>
      <c r="C263" s="20" t="s">
        <v>163</v>
      </c>
      <c r="D263" s="7" t="s">
        <v>174</v>
      </c>
      <c r="E263" s="21" t="s">
        <v>4</v>
      </c>
      <c r="F263" s="351"/>
      <c r="G263" s="354"/>
      <c r="H263" s="357"/>
      <c r="I263" s="12">
        <v>4312</v>
      </c>
      <c r="J263" s="18" t="str">
        <f t="shared" si="49"/>
        <v>SPT021UG2/GGIO1.Alm21</v>
      </c>
      <c r="K263" s="23" t="s">
        <v>265</v>
      </c>
      <c r="L263" s="9" t="s">
        <v>244</v>
      </c>
      <c r="M263" s="34" t="s">
        <v>229</v>
      </c>
      <c r="S263">
        <f t="shared" si="47"/>
        <v>217</v>
      </c>
      <c r="T263" t="str">
        <f t="shared" si="48"/>
        <v>lb_dd217</v>
      </c>
      <c r="X263">
        <v>34</v>
      </c>
    </row>
    <row r="264" spans="1:24" hidden="1" outlineLevel="1" x14ac:dyDescent="0.3">
      <c r="A264" s="346"/>
      <c r="B264" s="348"/>
      <c r="C264" s="20" t="s">
        <v>164</v>
      </c>
      <c r="D264" s="7" t="s">
        <v>175</v>
      </c>
      <c r="E264" s="21" t="s">
        <v>4</v>
      </c>
      <c r="F264" s="351"/>
      <c r="G264" s="354"/>
      <c r="H264" s="357"/>
      <c r="I264" s="12">
        <v>4313</v>
      </c>
      <c r="J264" s="18" t="str">
        <f t="shared" si="49"/>
        <v>SPT021UG2/GGIO1.Alm22</v>
      </c>
      <c r="K264" s="23" t="s">
        <v>265</v>
      </c>
      <c r="L264" s="9" t="s">
        <v>244</v>
      </c>
      <c r="M264" s="34" t="s">
        <v>230</v>
      </c>
      <c r="S264">
        <f t="shared" si="47"/>
        <v>218</v>
      </c>
      <c r="T264" t="str">
        <f t="shared" si="48"/>
        <v>lb_dd218</v>
      </c>
      <c r="X264">
        <v>35</v>
      </c>
    </row>
    <row r="265" spans="1:24" hidden="1" outlineLevel="1" x14ac:dyDescent="0.3">
      <c r="A265" s="346"/>
      <c r="B265" s="348"/>
      <c r="C265" s="20" t="s">
        <v>76</v>
      </c>
      <c r="D265" s="7" t="s">
        <v>138</v>
      </c>
      <c r="E265" s="21" t="s">
        <v>4</v>
      </c>
      <c r="F265" s="351"/>
      <c r="G265" s="354"/>
      <c r="H265" s="357"/>
      <c r="I265" s="12">
        <v>4314</v>
      </c>
      <c r="J265" s="18" t="str">
        <f t="shared" si="49"/>
        <v>SPT021UG2/GGIO1.Alm23</v>
      </c>
      <c r="K265" s="23" t="s">
        <v>265</v>
      </c>
      <c r="L265" s="9" t="s">
        <v>244</v>
      </c>
      <c r="M265" s="34" t="s">
        <v>231</v>
      </c>
      <c r="S265">
        <f t="shared" si="47"/>
        <v>219</v>
      </c>
      <c r="T265" t="str">
        <f t="shared" si="48"/>
        <v>lb_dd219</v>
      </c>
      <c r="X265">
        <v>36</v>
      </c>
    </row>
    <row r="266" spans="1:24" ht="15" hidden="1" customHeight="1" outlineLevel="1" x14ac:dyDescent="0.3">
      <c r="A266" s="346"/>
      <c r="B266" s="348"/>
      <c r="C266" s="20" t="s">
        <v>165</v>
      </c>
      <c r="D266" s="7" t="s">
        <v>176</v>
      </c>
      <c r="E266" s="21" t="s">
        <v>4</v>
      </c>
      <c r="F266" s="351"/>
      <c r="G266" s="354"/>
      <c r="H266" s="357"/>
      <c r="I266" s="12">
        <v>4315</v>
      </c>
      <c r="J266" s="18" t="str">
        <f t="shared" si="49"/>
        <v>SPT021UG2/GGIO1.Alm24</v>
      </c>
      <c r="K266" s="23" t="s">
        <v>265</v>
      </c>
      <c r="L266" s="9" t="s">
        <v>244</v>
      </c>
      <c r="M266" s="34" t="s">
        <v>232</v>
      </c>
      <c r="S266">
        <f t="shared" si="47"/>
        <v>220</v>
      </c>
      <c r="T266" t="str">
        <f t="shared" si="48"/>
        <v>lb_dd220</v>
      </c>
      <c r="X266">
        <v>37</v>
      </c>
    </row>
    <row r="267" spans="1:24" hidden="1" outlineLevel="1" x14ac:dyDescent="0.3">
      <c r="A267" s="346"/>
      <c r="B267" s="348"/>
      <c r="C267" s="20" t="s">
        <v>166</v>
      </c>
      <c r="D267" s="7" t="s">
        <v>177</v>
      </c>
      <c r="E267" s="21" t="s">
        <v>4</v>
      </c>
      <c r="F267" s="351"/>
      <c r="G267" s="354"/>
      <c r="H267" s="357"/>
      <c r="I267" s="12">
        <v>4316</v>
      </c>
      <c r="J267" s="18" t="str">
        <f t="shared" si="49"/>
        <v>SPT021UG2/GGIO1.Alm25</v>
      </c>
      <c r="K267" s="23" t="s">
        <v>265</v>
      </c>
      <c r="L267" s="9" t="s">
        <v>244</v>
      </c>
      <c r="M267" s="34" t="s">
        <v>233</v>
      </c>
      <c r="S267">
        <f t="shared" si="47"/>
        <v>221</v>
      </c>
      <c r="T267" t="str">
        <f t="shared" si="48"/>
        <v>lb_dd221</v>
      </c>
      <c r="X267">
        <v>38</v>
      </c>
    </row>
    <row r="268" spans="1:24" hidden="1" outlineLevel="1" x14ac:dyDescent="0.3">
      <c r="A268" s="346"/>
      <c r="B268" s="348"/>
      <c r="C268" s="20" t="s">
        <v>167</v>
      </c>
      <c r="D268" s="7" t="s">
        <v>125</v>
      </c>
      <c r="E268" s="21" t="s">
        <v>4</v>
      </c>
      <c r="F268" s="351"/>
      <c r="G268" s="354"/>
      <c r="H268" s="357"/>
      <c r="I268" s="12">
        <v>4317</v>
      </c>
      <c r="J268" s="18" t="str">
        <f t="shared" si="49"/>
        <v>SPT021UG2/GGIO1.Alm26</v>
      </c>
      <c r="K268" s="23" t="s">
        <v>265</v>
      </c>
      <c r="L268" s="9" t="s">
        <v>244</v>
      </c>
      <c r="M268" s="34" t="s">
        <v>234</v>
      </c>
      <c r="S268">
        <f t="shared" si="47"/>
        <v>222</v>
      </c>
      <c r="T268" t="str">
        <f t="shared" si="48"/>
        <v>lb_dd222</v>
      </c>
      <c r="X268">
        <v>39</v>
      </c>
    </row>
    <row r="269" spans="1:24" hidden="1" outlineLevel="1" x14ac:dyDescent="0.3">
      <c r="A269" s="346"/>
      <c r="B269" s="348"/>
      <c r="C269" s="20" t="s">
        <v>168</v>
      </c>
      <c r="D269" s="7" t="s">
        <v>178</v>
      </c>
      <c r="E269" s="21" t="s">
        <v>4</v>
      </c>
      <c r="F269" s="351"/>
      <c r="G269" s="354"/>
      <c r="H269" s="357"/>
      <c r="I269" s="12">
        <v>4318</v>
      </c>
      <c r="J269" s="18" t="str">
        <f t="shared" si="49"/>
        <v>SPT021UG2/GGIO1.Alm27</v>
      </c>
      <c r="K269" s="23" t="s">
        <v>265</v>
      </c>
      <c r="L269" s="9" t="s">
        <v>244</v>
      </c>
      <c r="M269" s="34" t="s">
        <v>235</v>
      </c>
      <c r="S269">
        <f t="shared" si="47"/>
        <v>223</v>
      </c>
      <c r="T269" t="str">
        <f t="shared" si="48"/>
        <v>lb_dd223</v>
      </c>
      <c r="X269">
        <v>40</v>
      </c>
    </row>
    <row r="270" spans="1:24" hidden="1" outlineLevel="1" x14ac:dyDescent="0.3">
      <c r="A270" s="346"/>
      <c r="B270" s="348"/>
      <c r="C270" s="20" t="s">
        <v>169</v>
      </c>
      <c r="D270" s="7" t="s">
        <v>179</v>
      </c>
      <c r="E270" s="21" t="s">
        <v>4</v>
      </c>
      <c r="F270" s="351"/>
      <c r="G270" s="354"/>
      <c r="H270" s="357"/>
      <c r="I270" s="12">
        <v>4319</v>
      </c>
      <c r="J270" s="18" t="str">
        <f t="shared" si="49"/>
        <v>SPT021UG2/GGIO1.Alm28</v>
      </c>
      <c r="K270" s="23" t="s">
        <v>265</v>
      </c>
      <c r="L270" s="9" t="s">
        <v>244</v>
      </c>
      <c r="M270" s="34" t="s">
        <v>236</v>
      </c>
      <c r="S270">
        <f t="shared" si="47"/>
        <v>224</v>
      </c>
      <c r="T270" t="str">
        <f t="shared" si="48"/>
        <v>lb_dd224</v>
      </c>
      <c r="X270">
        <v>41</v>
      </c>
    </row>
    <row r="271" spans="1:24" hidden="1" outlineLevel="1" x14ac:dyDescent="0.3">
      <c r="A271" s="346"/>
      <c r="B271" s="348"/>
      <c r="C271" s="20" t="s">
        <v>182</v>
      </c>
      <c r="D271" s="7" t="s">
        <v>180</v>
      </c>
      <c r="E271" s="21" t="s">
        <v>4</v>
      </c>
      <c r="F271" s="351"/>
      <c r="G271" s="354"/>
      <c r="H271" s="357"/>
      <c r="I271" s="12">
        <v>4320</v>
      </c>
      <c r="J271" s="18" t="str">
        <f t="shared" si="49"/>
        <v>SPT021UG2/GGIO1.Alm29</v>
      </c>
      <c r="K271" s="23" t="s">
        <v>265</v>
      </c>
      <c r="L271" s="9" t="s">
        <v>244</v>
      </c>
      <c r="M271" s="34" t="s">
        <v>237</v>
      </c>
      <c r="S271">
        <f t="shared" si="47"/>
        <v>225</v>
      </c>
      <c r="T271" t="str">
        <f t="shared" si="48"/>
        <v>lb_dd225</v>
      </c>
      <c r="X271">
        <v>42</v>
      </c>
    </row>
    <row r="272" spans="1:24" hidden="1" outlineLevel="1" x14ac:dyDescent="0.3">
      <c r="A272" s="346"/>
      <c r="B272" s="348"/>
      <c r="C272" s="7" t="s">
        <v>183</v>
      </c>
      <c r="D272" s="7" t="s">
        <v>181</v>
      </c>
      <c r="E272" s="21" t="s">
        <v>4</v>
      </c>
      <c r="F272" s="351"/>
      <c r="G272" s="354"/>
      <c r="H272" s="357"/>
      <c r="I272" s="12">
        <v>4321</v>
      </c>
      <c r="J272" s="18" t="str">
        <f t="shared" si="49"/>
        <v>SPT021UG2/GGIO1.Alm30</v>
      </c>
      <c r="K272" s="23" t="s">
        <v>265</v>
      </c>
      <c r="L272" s="9" t="s">
        <v>244</v>
      </c>
      <c r="M272" s="34" t="s">
        <v>238</v>
      </c>
      <c r="S272">
        <f t="shared" si="47"/>
        <v>226</v>
      </c>
      <c r="T272" t="str">
        <f t="shared" si="48"/>
        <v>lb_dd226</v>
      </c>
      <c r="X272">
        <v>43</v>
      </c>
    </row>
    <row r="273" spans="1:24" hidden="1" outlineLevel="1" x14ac:dyDescent="0.3">
      <c r="A273" s="346"/>
      <c r="B273" s="348"/>
      <c r="C273" s="20" t="s">
        <v>191</v>
      </c>
      <c r="D273" s="7" t="s">
        <v>184</v>
      </c>
      <c r="E273" s="21" t="s">
        <v>190</v>
      </c>
      <c r="F273" s="351"/>
      <c r="G273" s="354"/>
      <c r="H273" s="357"/>
      <c r="I273" s="12">
        <v>4322</v>
      </c>
      <c r="J273" s="18" t="str">
        <f t="shared" si="49"/>
        <v>SPT021UG2/GGIO1.Ind13</v>
      </c>
      <c r="K273" s="23" t="s">
        <v>265</v>
      </c>
      <c r="L273" s="9" t="s">
        <v>244</v>
      </c>
      <c r="M273" t="s">
        <v>97</v>
      </c>
      <c r="S273">
        <f t="shared" si="47"/>
        <v>227</v>
      </c>
      <c r="T273" t="str">
        <f t="shared" si="48"/>
        <v>lb_dd227</v>
      </c>
      <c r="X273">
        <v>44</v>
      </c>
    </row>
    <row r="274" spans="1:24" hidden="1" outlineLevel="1" x14ac:dyDescent="0.3">
      <c r="A274" s="346"/>
      <c r="B274" s="348"/>
      <c r="C274" s="7" t="s">
        <v>192</v>
      </c>
      <c r="D274" s="7" t="s">
        <v>185</v>
      </c>
      <c r="E274" s="21" t="s">
        <v>197</v>
      </c>
      <c r="F274" s="351"/>
      <c r="G274" s="354"/>
      <c r="H274" s="357"/>
      <c r="I274" s="12">
        <v>4323</v>
      </c>
      <c r="J274" s="18" t="str">
        <f t="shared" si="49"/>
        <v>SPT021UG2/GGIO1.Ind14</v>
      </c>
      <c r="K274" s="23" t="s">
        <v>265</v>
      </c>
      <c r="L274" s="9" t="s">
        <v>244</v>
      </c>
      <c r="M274" t="s">
        <v>98</v>
      </c>
      <c r="S274">
        <f t="shared" si="47"/>
        <v>228</v>
      </c>
      <c r="T274" t="str">
        <f t="shared" si="48"/>
        <v>lb_dd228</v>
      </c>
      <c r="X274">
        <v>45</v>
      </c>
    </row>
    <row r="275" spans="1:24" hidden="1" outlineLevel="1" x14ac:dyDescent="0.3">
      <c r="A275" s="346"/>
      <c r="B275" s="348"/>
      <c r="C275" s="7" t="s">
        <v>193</v>
      </c>
      <c r="D275" s="7" t="s">
        <v>186</v>
      </c>
      <c r="E275" s="21" t="s">
        <v>10</v>
      </c>
      <c r="F275" s="351"/>
      <c r="G275" s="354"/>
      <c r="H275" s="357"/>
      <c r="I275" s="12">
        <v>4324</v>
      </c>
      <c r="J275" s="18" t="str">
        <f t="shared" si="49"/>
        <v>SPT021UG2/GGIO1.Ind15</v>
      </c>
      <c r="K275" s="23" t="s">
        <v>265</v>
      </c>
      <c r="L275" s="9" t="s">
        <v>244</v>
      </c>
      <c r="M275" t="s">
        <v>99</v>
      </c>
      <c r="S275">
        <f t="shared" si="47"/>
        <v>229</v>
      </c>
      <c r="T275" t="str">
        <f t="shared" si="48"/>
        <v>lb_dd229</v>
      </c>
      <c r="X275">
        <v>46</v>
      </c>
    </row>
    <row r="276" spans="1:24" hidden="1" outlineLevel="1" x14ac:dyDescent="0.3">
      <c r="A276" s="346"/>
      <c r="B276" s="348"/>
      <c r="C276" s="20" t="s">
        <v>194</v>
      </c>
      <c r="D276" s="7" t="s">
        <v>187</v>
      </c>
      <c r="E276" s="21" t="s">
        <v>10</v>
      </c>
      <c r="F276" s="351"/>
      <c r="G276" s="354"/>
      <c r="H276" s="357"/>
      <c r="I276" s="12">
        <v>4325</v>
      </c>
      <c r="J276" s="18" t="str">
        <f t="shared" si="49"/>
        <v>SPT021UG2/GGIO1.Ind16</v>
      </c>
      <c r="K276" s="23" t="s">
        <v>265</v>
      </c>
      <c r="L276" s="9" t="s">
        <v>244</v>
      </c>
      <c r="M276" t="s">
        <v>100</v>
      </c>
      <c r="S276">
        <f t="shared" si="47"/>
        <v>230</v>
      </c>
      <c r="T276" t="str">
        <f t="shared" si="48"/>
        <v>lb_dd230</v>
      </c>
      <c r="X276">
        <v>47</v>
      </c>
    </row>
    <row r="277" spans="1:24" hidden="1" outlineLevel="1" x14ac:dyDescent="0.3">
      <c r="A277" s="346"/>
      <c r="B277" s="348"/>
      <c r="C277" s="20" t="s">
        <v>195</v>
      </c>
      <c r="D277" s="7" t="s">
        <v>188</v>
      </c>
      <c r="E277" s="21" t="s">
        <v>10</v>
      </c>
      <c r="F277" s="351"/>
      <c r="G277" s="354"/>
      <c r="H277" s="357"/>
      <c r="I277" s="12">
        <v>4326</v>
      </c>
      <c r="J277" s="18" t="str">
        <f t="shared" si="49"/>
        <v>SPT021UG2/GGIO1.Ind17</v>
      </c>
      <c r="K277" s="23" t="s">
        <v>265</v>
      </c>
      <c r="L277" s="9" t="s">
        <v>244</v>
      </c>
      <c r="M277" t="s">
        <v>101</v>
      </c>
      <c r="S277">
        <f t="shared" si="47"/>
        <v>231</v>
      </c>
      <c r="T277" t="str">
        <f t="shared" si="48"/>
        <v>lb_dd231</v>
      </c>
      <c r="X277">
        <v>48</v>
      </c>
    </row>
    <row r="278" spans="1:24" hidden="1" outlineLevel="1" x14ac:dyDescent="0.3">
      <c r="A278" s="346"/>
      <c r="B278" s="348"/>
      <c r="C278" s="20" t="s">
        <v>196</v>
      </c>
      <c r="D278" s="7" t="s">
        <v>189</v>
      </c>
      <c r="E278" s="21" t="s">
        <v>10</v>
      </c>
      <c r="F278" s="351"/>
      <c r="G278" s="354"/>
      <c r="H278" s="357"/>
      <c r="I278" s="12">
        <v>4327</v>
      </c>
      <c r="J278" s="18" t="str">
        <f t="shared" si="49"/>
        <v>SPT021UG2/GGIO1.Ind18</v>
      </c>
      <c r="K278" s="23" t="s">
        <v>265</v>
      </c>
      <c r="L278" s="9" t="s">
        <v>244</v>
      </c>
      <c r="M278" t="s">
        <v>102</v>
      </c>
      <c r="S278">
        <f t="shared" si="47"/>
        <v>232</v>
      </c>
      <c r="T278" t="str">
        <f t="shared" si="48"/>
        <v>lb_dd232</v>
      </c>
      <c r="X278">
        <v>49</v>
      </c>
    </row>
    <row r="279" spans="1:24" hidden="1" outlineLevel="1" x14ac:dyDescent="0.3">
      <c r="A279" s="346"/>
      <c r="B279" s="348"/>
      <c r="C279" s="7" t="s">
        <v>198</v>
      </c>
      <c r="D279" s="7" t="s">
        <v>136</v>
      </c>
      <c r="E279" s="21" t="s">
        <v>4</v>
      </c>
      <c r="F279" s="352"/>
      <c r="G279" s="354"/>
      <c r="H279" s="358"/>
      <c r="I279" s="12">
        <v>4328</v>
      </c>
      <c r="J279" s="18" t="str">
        <f t="shared" si="49"/>
        <v>SPT021UG2/GGIO1.Alm31</v>
      </c>
      <c r="K279" s="23" t="s">
        <v>265</v>
      </c>
      <c r="L279" s="9" t="s">
        <v>244</v>
      </c>
      <c r="M279" s="34" t="s">
        <v>243</v>
      </c>
      <c r="S279">
        <f t="shared" si="47"/>
        <v>233</v>
      </c>
      <c r="T279" t="str">
        <f t="shared" si="48"/>
        <v>lb_dd233</v>
      </c>
      <c r="X279">
        <v>50</v>
      </c>
    </row>
    <row r="280" spans="1:24" hidden="1" outlineLevel="1" x14ac:dyDescent="0.3">
      <c r="A280" s="346"/>
      <c r="B280" s="348"/>
      <c r="C280" s="20">
        <v>26</v>
      </c>
      <c r="D280" s="14" t="s">
        <v>199</v>
      </c>
      <c r="E280" s="3" t="s">
        <v>35</v>
      </c>
      <c r="F280" s="351" t="s">
        <v>30</v>
      </c>
      <c r="G280" s="354"/>
      <c r="H280" s="354" t="s">
        <v>59</v>
      </c>
      <c r="I280" s="12">
        <v>8798</v>
      </c>
      <c r="J280" s="18" t="str">
        <f t="shared" si="49"/>
        <v>SPT021UG2/Ut2_MMXN1.Vol</v>
      </c>
      <c r="K280" s="23" t="s">
        <v>265</v>
      </c>
      <c r="L280" s="9" t="s">
        <v>269</v>
      </c>
      <c r="M280" t="s">
        <v>267</v>
      </c>
    </row>
    <row r="281" spans="1:24" hidden="1" outlineLevel="1" x14ac:dyDescent="0.3">
      <c r="A281" s="346"/>
      <c r="B281" s="348"/>
      <c r="C281" s="20">
        <v>28</v>
      </c>
      <c r="D281" s="14" t="s">
        <v>200</v>
      </c>
      <c r="E281" s="3" t="s">
        <v>35</v>
      </c>
      <c r="F281" s="351"/>
      <c r="G281" s="354"/>
      <c r="H281" s="354"/>
      <c r="I281" s="12">
        <v>8800</v>
      </c>
      <c r="J281" s="18" t="str">
        <f t="shared" si="49"/>
        <v>SPT021UG2/It_MMXN2.Amp</v>
      </c>
      <c r="K281" s="23" t="s">
        <v>265</v>
      </c>
      <c r="L281" s="9" t="s">
        <v>270</v>
      </c>
      <c r="M281" t="s">
        <v>268</v>
      </c>
    </row>
    <row r="282" spans="1:24" hidden="1" outlineLevel="1" x14ac:dyDescent="0.3">
      <c r="A282" s="346"/>
      <c r="B282" s="348"/>
      <c r="C282" s="7">
        <v>30</v>
      </c>
      <c r="D282" s="14" t="s">
        <v>201</v>
      </c>
      <c r="E282" s="3" t="s">
        <v>35</v>
      </c>
      <c r="F282" s="351"/>
      <c r="G282" s="354"/>
      <c r="H282" s="354"/>
      <c r="I282" s="12">
        <v>8802</v>
      </c>
      <c r="J282" s="18" t="str">
        <f t="shared" si="49"/>
        <v>SPT021UG2/Ut1_MMXN3.Vol</v>
      </c>
      <c r="K282" s="23" t="s">
        <v>265</v>
      </c>
      <c r="L282" s="9" t="s">
        <v>271</v>
      </c>
      <c r="M282" t="s">
        <v>267</v>
      </c>
    </row>
    <row r="283" spans="1:24" hidden="1" outlineLevel="1" x14ac:dyDescent="0.3">
      <c r="A283" s="346"/>
      <c r="B283" s="348"/>
      <c r="C283" s="7">
        <v>32</v>
      </c>
      <c r="D283" s="14" t="s">
        <v>202</v>
      </c>
      <c r="E283" s="3" t="s">
        <v>35</v>
      </c>
      <c r="F283" s="351"/>
      <c r="G283" s="354"/>
      <c r="H283" s="354"/>
      <c r="I283" s="12">
        <v>8804</v>
      </c>
      <c r="J283" s="18" t="str">
        <f t="shared" si="49"/>
        <v>SPT021UG2/Ib_MMXN4.Amp</v>
      </c>
      <c r="K283" s="23" t="s">
        <v>265</v>
      </c>
      <c r="L283" s="9" t="s">
        <v>272</v>
      </c>
      <c r="M283" t="s">
        <v>268</v>
      </c>
    </row>
    <row r="284" spans="1:24" hidden="1" outlineLevel="1" x14ac:dyDescent="0.3">
      <c r="A284" s="346"/>
      <c r="B284" s="349"/>
      <c r="C284" s="7">
        <v>34</v>
      </c>
      <c r="D284" s="14" t="s">
        <v>203</v>
      </c>
      <c r="E284" s="3" t="s">
        <v>35</v>
      </c>
      <c r="F284" s="352"/>
      <c r="G284" s="355"/>
      <c r="H284" s="355"/>
      <c r="I284" s="12">
        <v>8806</v>
      </c>
      <c r="J284" s="18" t="str">
        <f t="shared" si="49"/>
        <v>SPT021UG2/GGIO2.AnIn</v>
      </c>
      <c r="K284" s="23" t="s">
        <v>265</v>
      </c>
      <c r="L284" s="9" t="s">
        <v>245</v>
      </c>
      <c r="M284" t="s">
        <v>266</v>
      </c>
    </row>
    <row r="285" spans="1:24" s="16" customFormat="1" ht="15" customHeight="1" collapsed="1" x14ac:dyDescent="0.3">
      <c r="A285" s="336"/>
      <c r="B285" s="336"/>
      <c r="C285" s="336"/>
      <c r="D285" s="336"/>
      <c r="E285" s="336"/>
      <c r="F285" s="336"/>
      <c r="G285" s="336"/>
      <c r="H285" s="336"/>
      <c r="I285" s="336"/>
      <c r="J285" s="336"/>
      <c r="K285" s="36"/>
      <c r="L285" s="37"/>
      <c r="M285" s="37"/>
      <c r="P285" s="51"/>
    </row>
    <row r="286" spans="1:24" s="16" customFormat="1" x14ac:dyDescent="0.3">
      <c r="A286" s="337" t="s">
        <v>60</v>
      </c>
      <c r="B286" s="337"/>
      <c r="C286" s="337"/>
      <c r="D286" s="337"/>
      <c r="E286" s="337"/>
      <c r="F286" s="337"/>
      <c r="G286" s="337"/>
      <c r="H286" s="337"/>
      <c r="I286" s="337"/>
      <c r="J286" s="337"/>
      <c r="L286" s="44"/>
      <c r="P286" s="51"/>
    </row>
    <row r="287" spans="1:24" s="16" customFormat="1" outlineLevel="1" x14ac:dyDescent="0.3">
      <c r="A287" s="68" t="s">
        <v>29</v>
      </c>
      <c r="B287" s="68" t="s">
        <v>29</v>
      </c>
      <c r="C287" s="68" t="s">
        <v>29</v>
      </c>
      <c r="D287" s="59" t="str">
        <f>CONCATENATE("Наличие связи с ",P287)</f>
        <v>Наличие связи с 1А3.M-MolS</v>
      </c>
      <c r="E287" s="18" t="s">
        <v>273</v>
      </c>
      <c r="F287" s="338" t="s">
        <v>28</v>
      </c>
      <c r="G287" s="68" t="s">
        <v>29</v>
      </c>
      <c r="H287" s="339" t="s">
        <v>59</v>
      </c>
      <c r="I287" s="68">
        <v>4329</v>
      </c>
      <c r="J287" s="18" t="str">
        <f>IF(OR(D287="",D287="-"),"",CONCATENATE("SPT021",K287,"/",L287,".",M287))</f>
        <v>SPT021Connect/GGIO1.Ind1</v>
      </c>
      <c r="K287" s="16" t="s">
        <v>328</v>
      </c>
      <c r="L287" s="44" t="s">
        <v>244</v>
      </c>
      <c r="M287" s="44" t="s">
        <v>36</v>
      </c>
      <c r="P287" s="51" t="s">
        <v>241</v>
      </c>
      <c r="S287">
        <f t="shared" ref="S287:S306" si="50">I287-4095</f>
        <v>234</v>
      </c>
      <c r="T287" t="str">
        <f t="shared" ref="T287:T306" si="51">_xlfn.CONCAT($T$1,S287)</f>
        <v>lb_dd234</v>
      </c>
      <c r="U287" s="37"/>
    </row>
    <row r="288" spans="1:24" s="16" customFormat="1" outlineLevel="1" x14ac:dyDescent="0.3">
      <c r="A288" s="68" t="s">
        <v>29</v>
      </c>
      <c r="B288" s="68" t="s">
        <v>29</v>
      </c>
      <c r="C288" s="68" t="s">
        <v>29</v>
      </c>
      <c r="D288" s="43" t="str">
        <f t="shared" ref="D288:D306" si="52">CONCATENATE("Наличие связи с ",P288)</f>
        <v>Наличие связи с 1А4.M-MolS</v>
      </c>
      <c r="E288" s="18" t="s">
        <v>273</v>
      </c>
      <c r="F288" s="338"/>
      <c r="G288" s="68" t="s">
        <v>29</v>
      </c>
      <c r="H288" s="339"/>
      <c r="I288" s="68">
        <v>4330</v>
      </c>
      <c r="J288" s="18" t="str">
        <f t="shared" ref="J288:J306" si="53">IF(OR(D288="",D288="-"),"",CONCATENATE("SPT021",K288,"/",L288,".",M288))</f>
        <v>SPT021Connect/GGIO1.Ind2</v>
      </c>
      <c r="K288" s="16" t="s">
        <v>328</v>
      </c>
      <c r="L288" s="44" t="s">
        <v>244</v>
      </c>
      <c r="M288" s="44" t="s">
        <v>38</v>
      </c>
      <c r="P288" s="51" t="s">
        <v>242</v>
      </c>
      <c r="S288">
        <f t="shared" si="50"/>
        <v>235</v>
      </c>
      <c r="T288" t="str">
        <f t="shared" si="51"/>
        <v>lb_dd235</v>
      </c>
      <c r="U288" s="37"/>
    </row>
    <row r="289" spans="1:21" s="16" customFormat="1" outlineLevel="1" x14ac:dyDescent="0.3">
      <c r="A289" s="68" t="s">
        <v>29</v>
      </c>
      <c r="B289" s="68" t="s">
        <v>29</v>
      </c>
      <c r="C289" s="68" t="s">
        <v>29</v>
      </c>
      <c r="D289" s="43" t="str">
        <f t="shared" si="52"/>
        <v>Наличие связи с 1А5.M-MolS</v>
      </c>
      <c r="E289" s="18" t="s">
        <v>273</v>
      </c>
      <c r="F289" s="338"/>
      <c r="G289" s="68" t="s">
        <v>29</v>
      </c>
      <c r="H289" s="339"/>
      <c r="I289" s="68">
        <v>4331</v>
      </c>
      <c r="J289" s="18" t="str">
        <f t="shared" si="53"/>
        <v>SPT021Connect/GGIO1.Ind3</v>
      </c>
      <c r="K289" s="16" t="s">
        <v>328</v>
      </c>
      <c r="L289" s="44" t="s">
        <v>244</v>
      </c>
      <c r="M289" s="44" t="s">
        <v>40</v>
      </c>
      <c r="P289" s="51" t="s">
        <v>316</v>
      </c>
      <c r="S289">
        <f t="shared" si="50"/>
        <v>236</v>
      </c>
      <c r="T289" t="str">
        <f t="shared" si="51"/>
        <v>lb_dd236</v>
      </c>
      <c r="U289" s="47"/>
    </row>
    <row r="290" spans="1:21" s="16" customFormat="1" outlineLevel="1" x14ac:dyDescent="0.3">
      <c r="A290" s="68" t="s">
        <v>29</v>
      </c>
      <c r="B290" s="68" t="s">
        <v>29</v>
      </c>
      <c r="C290" s="68" t="s">
        <v>29</v>
      </c>
      <c r="D290" s="43" t="str">
        <f t="shared" si="52"/>
        <v>Наличие связи с 2A12.M-MolS</v>
      </c>
      <c r="E290" s="18" t="s">
        <v>273</v>
      </c>
      <c r="F290" s="338"/>
      <c r="G290" s="68" t="s">
        <v>29</v>
      </c>
      <c r="H290" s="339"/>
      <c r="I290" s="68">
        <v>4332</v>
      </c>
      <c r="J290" s="18" t="str">
        <f t="shared" si="53"/>
        <v>SPT021Connect/GGIO1.Ind4</v>
      </c>
      <c r="K290" s="16" t="s">
        <v>328</v>
      </c>
      <c r="L290" s="44" t="s">
        <v>244</v>
      </c>
      <c r="M290" s="44" t="s">
        <v>42</v>
      </c>
      <c r="P290" s="51" t="s">
        <v>317</v>
      </c>
      <c r="S290">
        <f t="shared" si="50"/>
        <v>237</v>
      </c>
      <c r="T290" t="str">
        <f t="shared" si="51"/>
        <v>lb_dd237</v>
      </c>
      <c r="U290" s="37"/>
    </row>
    <row r="291" spans="1:21" s="16" customFormat="1" outlineLevel="1" x14ac:dyDescent="0.3">
      <c r="A291" s="68" t="s">
        <v>29</v>
      </c>
      <c r="B291" s="68" t="s">
        <v>29</v>
      </c>
      <c r="C291" s="68" t="s">
        <v>29</v>
      </c>
      <c r="D291" s="43" t="str">
        <f t="shared" si="52"/>
        <v>Наличие связи с 2A13.M-MolS</v>
      </c>
      <c r="E291" s="18" t="s">
        <v>273</v>
      </c>
      <c r="F291" s="338"/>
      <c r="G291" s="68" t="s">
        <v>29</v>
      </c>
      <c r="H291" s="339"/>
      <c r="I291" s="68">
        <v>4333</v>
      </c>
      <c r="J291" s="18" t="str">
        <f t="shared" si="53"/>
        <v>SPT021Connect/GGIO1.Ind5</v>
      </c>
      <c r="K291" s="16" t="s">
        <v>328</v>
      </c>
      <c r="L291" s="44" t="s">
        <v>244</v>
      </c>
      <c r="M291" s="44" t="s">
        <v>44</v>
      </c>
      <c r="P291" s="51" t="s">
        <v>318</v>
      </c>
      <c r="S291">
        <f t="shared" si="50"/>
        <v>238</v>
      </c>
      <c r="T291" t="str">
        <f t="shared" si="51"/>
        <v>lb_dd238</v>
      </c>
      <c r="U291" s="37"/>
    </row>
    <row r="292" spans="1:21" s="16" customFormat="1" outlineLevel="1" x14ac:dyDescent="0.3">
      <c r="A292" s="68" t="s">
        <v>29</v>
      </c>
      <c r="B292" s="68" t="s">
        <v>29</v>
      </c>
      <c r="C292" s="68" t="s">
        <v>29</v>
      </c>
      <c r="D292" s="43" t="str">
        <f t="shared" si="52"/>
        <v>Наличие связи с 2A14.7051</v>
      </c>
      <c r="E292" s="18" t="s">
        <v>273</v>
      </c>
      <c r="F292" s="338"/>
      <c r="G292" s="68" t="s">
        <v>29</v>
      </c>
      <c r="H292" s="339"/>
      <c r="I292" s="68">
        <v>4334</v>
      </c>
      <c r="J292" s="18" t="str">
        <f t="shared" si="53"/>
        <v>SPT021Connect/GGIO1.Ind6</v>
      </c>
      <c r="K292" s="16" t="s">
        <v>328</v>
      </c>
      <c r="L292" s="44" t="s">
        <v>244</v>
      </c>
      <c r="M292" s="44" t="s">
        <v>46</v>
      </c>
      <c r="P292" s="51" t="s">
        <v>319</v>
      </c>
      <c r="S292">
        <f t="shared" si="50"/>
        <v>239</v>
      </c>
      <c r="T292" t="str">
        <f t="shared" si="51"/>
        <v>lb_dd239</v>
      </c>
      <c r="U292" s="47"/>
    </row>
    <row r="293" spans="1:21" s="16" customFormat="1" outlineLevel="1" x14ac:dyDescent="0.3">
      <c r="A293" s="68" t="s">
        <v>29</v>
      </c>
      <c r="B293" s="68" t="s">
        <v>29</v>
      </c>
      <c r="C293" s="68" t="s">
        <v>29</v>
      </c>
      <c r="D293" s="43" t="str">
        <f t="shared" si="52"/>
        <v>Наличие связи с 2A5.ПульсНС</v>
      </c>
      <c r="E293" s="18" t="s">
        <v>273</v>
      </c>
      <c r="F293" s="338"/>
      <c r="G293" s="68" t="s">
        <v>29</v>
      </c>
      <c r="H293" s="339"/>
      <c r="I293" s="68">
        <v>4335</v>
      </c>
      <c r="J293" s="18" t="str">
        <f t="shared" si="53"/>
        <v>SPT021Connect/GGIO1.Ind7</v>
      </c>
      <c r="K293" s="16" t="s">
        <v>328</v>
      </c>
      <c r="L293" s="44" t="s">
        <v>244</v>
      </c>
      <c r="M293" s="44" t="s">
        <v>48</v>
      </c>
      <c r="P293" s="51" t="s">
        <v>320</v>
      </c>
      <c r="S293">
        <f t="shared" si="50"/>
        <v>240</v>
      </c>
      <c r="T293" t="str">
        <f t="shared" si="51"/>
        <v>lb_dd240</v>
      </c>
      <c r="U293" s="47"/>
    </row>
    <row r="294" spans="1:21" s="16" customFormat="1" outlineLevel="1" x14ac:dyDescent="0.3">
      <c r="A294" s="68" t="s">
        <v>29</v>
      </c>
      <c r="B294" s="68" t="s">
        <v>29</v>
      </c>
      <c r="C294" s="68" t="s">
        <v>29</v>
      </c>
      <c r="D294" s="43" t="str">
        <f t="shared" si="52"/>
        <v>Наличие связи с 2A6.ПульсНС</v>
      </c>
      <c r="E294" s="18" t="s">
        <v>273</v>
      </c>
      <c r="F294" s="338"/>
      <c r="G294" s="68" t="s">
        <v>29</v>
      </c>
      <c r="H294" s="339"/>
      <c r="I294" s="68">
        <v>4336</v>
      </c>
      <c r="J294" s="18" t="str">
        <f t="shared" si="53"/>
        <v>SPT021Connect/GGIO1.Ind8</v>
      </c>
      <c r="K294" s="16" t="s">
        <v>328</v>
      </c>
      <c r="L294" s="44" t="s">
        <v>244</v>
      </c>
      <c r="M294" s="44" t="s">
        <v>55</v>
      </c>
      <c r="P294" s="51" t="s">
        <v>321</v>
      </c>
      <c r="S294">
        <f t="shared" si="50"/>
        <v>241</v>
      </c>
      <c r="T294" t="str">
        <f t="shared" si="51"/>
        <v>lb_dd241</v>
      </c>
      <c r="U294" s="47"/>
    </row>
    <row r="295" spans="1:21" s="16" customFormat="1" outlineLevel="1" x14ac:dyDescent="0.3">
      <c r="A295" s="68" t="s">
        <v>29</v>
      </c>
      <c r="B295" s="68" t="s">
        <v>29</v>
      </c>
      <c r="C295" s="68" t="s">
        <v>29</v>
      </c>
      <c r="D295" s="43" t="str">
        <f t="shared" si="52"/>
        <v>Наличие связи с 2A7.ПульсНС</v>
      </c>
      <c r="E295" s="18" t="s">
        <v>273</v>
      </c>
      <c r="F295" s="338"/>
      <c r="G295" s="68" t="s">
        <v>29</v>
      </c>
      <c r="H295" s="339"/>
      <c r="I295" s="68">
        <v>4337</v>
      </c>
      <c r="J295" s="18" t="str">
        <f t="shared" si="53"/>
        <v>SPT021Connect/GGIO1.Ind9</v>
      </c>
      <c r="K295" s="16" t="s">
        <v>328</v>
      </c>
      <c r="L295" s="44" t="s">
        <v>244</v>
      </c>
      <c r="M295" s="44" t="s">
        <v>93</v>
      </c>
      <c r="P295" s="51" t="s">
        <v>322</v>
      </c>
      <c r="S295">
        <f t="shared" si="50"/>
        <v>242</v>
      </c>
      <c r="T295" t="str">
        <f t="shared" si="51"/>
        <v>lb_dd242</v>
      </c>
      <c r="U295" s="47"/>
    </row>
    <row r="296" spans="1:21" s="16" customFormat="1" outlineLevel="1" x14ac:dyDescent="0.3">
      <c r="A296" s="68" t="s">
        <v>29</v>
      </c>
      <c r="B296" s="68" t="s">
        <v>29</v>
      </c>
      <c r="C296" s="68" t="s">
        <v>29</v>
      </c>
      <c r="D296" s="43" t="str">
        <f t="shared" si="52"/>
        <v>Наличие связи с 2A8.ПульсНС</v>
      </c>
      <c r="E296" s="18" t="s">
        <v>273</v>
      </c>
      <c r="F296" s="338"/>
      <c r="G296" s="68" t="s">
        <v>29</v>
      </c>
      <c r="H296" s="339"/>
      <c r="I296" s="68">
        <v>4338</v>
      </c>
      <c r="J296" s="18" t="str">
        <f t="shared" si="53"/>
        <v>SPT021Connect/GGIO1.Ind10</v>
      </c>
      <c r="K296" s="16" t="s">
        <v>328</v>
      </c>
      <c r="L296" s="44" t="s">
        <v>244</v>
      </c>
      <c r="M296" s="44" t="s">
        <v>94</v>
      </c>
      <c r="P296" s="51" t="s">
        <v>323</v>
      </c>
      <c r="S296">
        <f t="shared" si="50"/>
        <v>243</v>
      </c>
      <c r="T296" t="str">
        <f t="shared" si="51"/>
        <v>lb_dd243</v>
      </c>
      <c r="U296" s="47"/>
    </row>
    <row r="297" spans="1:21" s="16" customFormat="1" outlineLevel="1" x14ac:dyDescent="0.3">
      <c r="A297" s="68" t="s">
        <v>29</v>
      </c>
      <c r="B297" s="68" t="s">
        <v>29</v>
      </c>
      <c r="C297" s="68" t="s">
        <v>29</v>
      </c>
      <c r="D297" s="43" t="str">
        <f t="shared" si="52"/>
        <v>Наличие связи с 2А11.СКИ</v>
      </c>
      <c r="E297" s="18" t="s">
        <v>273</v>
      </c>
      <c r="F297" s="338"/>
      <c r="G297" s="68" t="s">
        <v>29</v>
      </c>
      <c r="H297" s="339"/>
      <c r="I297" s="68">
        <v>4339</v>
      </c>
      <c r="J297" s="18" t="str">
        <f t="shared" si="53"/>
        <v>SPT021Connect/GGIO1.Ind11</v>
      </c>
      <c r="K297" s="16" t="s">
        <v>328</v>
      </c>
      <c r="L297" s="44" t="s">
        <v>244</v>
      </c>
      <c r="M297" s="44" t="s">
        <v>95</v>
      </c>
      <c r="P297" s="51" t="s">
        <v>325</v>
      </c>
      <c r="S297">
        <f t="shared" si="50"/>
        <v>244</v>
      </c>
      <c r="T297" t="str">
        <f t="shared" si="51"/>
        <v>lb_dd244</v>
      </c>
      <c r="U297" s="47"/>
    </row>
    <row r="298" spans="1:21" s="16" customFormat="1" outlineLevel="1" x14ac:dyDescent="0.3">
      <c r="A298" s="68" t="s">
        <v>29</v>
      </c>
      <c r="B298" s="68" t="s">
        <v>29</v>
      </c>
      <c r="C298" s="68" t="s">
        <v>29</v>
      </c>
      <c r="D298" s="43" t="str">
        <f>CONCATENATE("Наличие связи с ",P304)</f>
        <v>Наличие связи с 2А1.КулонСПТ</v>
      </c>
      <c r="E298" s="18" t="s">
        <v>273</v>
      </c>
      <c r="F298" s="338"/>
      <c r="G298" s="68" t="s">
        <v>29</v>
      </c>
      <c r="H298" s="339"/>
      <c r="I298" s="68">
        <v>4340</v>
      </c>
      <c r="J298" s="18" t="str">
        <f t="shared" si="53"/>
        <v>SPT021Connect/GGIO1.Ind12</v>
      </c>
      <c r="K298" s="16" t="s">
        <v>328</v>
      </c>
      <c r="L298" s="44" t="s">
        <v>244</v>
      </c>
      <c r="M298" s="44" t="s">
        <v>96</v>
      </c>
      <c r="P298" s="48" t="s">
        <v>276</v>
      </c>
      <c r="S298">
        <f t="shared" si="50"/>
        <v>245</v>
      </c>
      <c r="T298" t="str">
        <f t="shared" si="51"/>
        <v>lb_dd245</v>
      </c>
      <c r="U298" s="47"/>
    </row>
    <row r="299" spans="1:21" s="16" customFormat="1" outlineLevel="1" x14ac:dyDescent="0.3">
      <c r="A299" s="68" t="s">
        <v>29</v>
      </c>
      <c r="B299" s="68" t="s">
        <v>29</v>
      </c>
      <c r="C299" s="68" t="s">
        <v>29</v>
      </c>
      <c r="D299" s="43" t="str">
        <f>CONCATENATE("Наличие связи с ",P302)</f>
        <v>Наличие связи с 2PA1</v>
      </c>
      <c r="E299" s="18" t="s">
        <v>273</v>
      </c>
      <c r="F299" s="338"/>
      <c r="G299" s="68" t="s">
        <v>29</v>
      </c>
      <c r="H299" s="339"/>
      <c r="I299" s="68">
        <v>4341</v>
      </c>
      <c r="J299" s="18" t="str">
        <f t="shared" si="53"/>
        <v>SPT021Connect/GGIO1.Ind13</v>
      </c>
      <c r="K299" s="16" t="s">
        <v>328</v>
      </c>
      <c r="L299" s="44" t="s">
        <v>244</v>
      </c>
      <c r="M299" s="44" t="s">
        <v>97</v>
      </c>
      <c r="P299" s="48" t="s">
        <v>277</v>
      </c>
      <c r="S299">
        <f t="shared" si="50"/>
        <v>246</v>
      </c>
      <c r="T299" t="str">
        <f t="shared" si="51"/>
        <v>lb_dd246</v>
      </c>
      <c r="U299" s="47"/>
    </row>
    <row r="300" spans="1:21" s="16" customFormat="1" outlineLevel="1" x14ac:dyDescent="0.3">
      <c r="A300" s="68" t="s">
        <v>29</v>
      </c>
      <c r="B300" s="68" t="s">
        <v>29</v>
      </c>
      <c r="C300" s="68" t="s">
        <v>29</v>
      </c>
      <c r="D300" s="43" t="str">
        <f>CONCATENATE("Наличие связи с ",P303)</f>
        <v>Наличие связи с 2PV1</v>
      </c>
      <c r="E300" s="18" t="s">
        <v>273</v>
      </c>
      <c r="F300" s="338"/>
      <c r="G300" s="68" t="s">
        <v>29</v>
      </c>
      <c r="H300" s="339"/>
      <c r="I300" s="68">
        <v>4342</v>
      </c>
      <c r="J300" s="18" t="str">
        <f t="shared" si="53"/>
        <v>SPT021Connect/GGIO1.Ind14</v>
      </c>
      <c r="K300" s="16" t="s">
        <v>328</v>
      </c>
      <c r="L300" s="44" t="s">
        <v>244</v>
      </c>
      <c r="M300" s="44" t="s">
        <v>98</v>
      </c>
      <c r="P300" s="48" t="s">
        <v>278</v>
      </c>
      <c r="S300">
        <f t="shared" si="50"/>
        <v>247</v>
      </c>
      <c r="T300" t="str">
        <f t="shared" si="51"/>
        <v>lb_dd247</v>
      </c>
      <c r="U300" s="47"/>
    </row>
    <row r="301" spans="1:21" s="16" customFormat="1" outlineLevel="1" x14ac:dyDescent="0.3">
      <c r="A301" s="68" t="s">
        <v>29</v>
      </c>
      <c r="B301" s="68" t="s">
        <v>29</v>
      </c>
      <c r="C301" s="68" t="s">
        <v>29</v>
      </c>
      <c r="D301" s="43" t="str">
        <f>CONCATENATE("Наличие связи с ",P298)</f>
        <v>Наличие связи с 1PV1</v>
      </c>
      <c r="E301" s="18" t="s">
        <v>273</v>
      </c>
      <c r="F301" s="338"/>
      <c r="G301" s="68" t="s">
        <v>29</v>
      </c>
      <c r="H301" s="339"/>
      <c r="I301" s="68">
        <v>4343</v>
      </c>
      <c r="J301" s="18" t="str">
        <f t="shared" si="53"/>
        <v>SPT021Connect/GGIO1.Ind15</v>
      </c>
      <c r="K301" s="16" t="s">
        <v>328</v>
      </c>
      <c r="L301" s="44" t="s">
        <v>244</v>
      </c>
      <c r="M301" s="44" t="s">
        <v>99</v>
      </c>
      <c r="P301" s="48" t="s">
        <v>279</v>
      </c>
      <c r="S301">
        <f t="shared" si="50"/>
        <v>248</v>
      </c>
      <c r="T301" t="str">
        <f t="shared" si="51"/>
        <v>lb_dd248</v>
      </c>
      <c r="U301" s="47"/>
    </row>
    <row r="302" spans="1:21" s="16" customFormat="1" outlineLevel="1" x14ac:dyDescent="0.3">
      <c r="A302" s="68" t="s">
        <v>29</v>
      </c>
      <c r="B302" s="68" t="s">
        <v>29</v>
      </c>
      <c r="C302" s="68" t="s">
        <v>29</v>
      </c>
      <c r="D302" s="43" t="str">
        <f>CONCATENATE("Наличие связи с ",P299)</f>
        <v>Наличие связи с 1PV2</v>
      </c>
      <c r="E302" s="18" t="s">
        <v>273</v>
      </c>
      <c r="F302" s="338"/>
      <c r="G302" s="68" t="s">
        <v>29</v>
      </c>
      <c r="H302" s="339"/>
      <c r="I302" s="68">
        <v>4344</v>
      </c>
      <c r="J302" s="18" t="str">
        <f t="shared" si="53"/>
        <v>SPT021Connect/GGIO1.Ind16</v>
      </c>
      <c r="K302" s="16" t="s">
        <v>328</v>
      </c>
      <c r="L302" s="44" t="s">
        <v>244</v>
      </c>
      <c r="M302" s="44" t="s">
        <v>100</v>
      </c>
      <c r="P302" s="48" t="s">
        <v>280</v>
      </c>
      <c r="S302">
        <f t="shared" si="50"/>
        <v>249</v>
      </c>
      <c r="T302" t="str">
        <f t="shared" si="51"/>
        <v>lb_dd249</v>
      </c>
      <c r="U302" s="47"/>
    </row>
    <row r="303" spans="1:21" s="16" customFormat="1" outlineLevel="1" x14ac:dyDescent="0.3">
      <c r="A303" s="68" t="s">
        <v>29</v>
      </c>
      <c r="B303" s="68" t="s">
        <v>29</v>
      </c>
      <c r="C303" s="68" t="s">
        <v>29</v>
      </c>
      <c r="D303" s="43" t="str">
        <f>CONCATENATE("Наличие связи с ",P300)</f>
        <v>Наличие связи с 1PV3</v>
      </c>
      <c r="E303" s="18" t="s">
        <v>273</v>
      </c>
      <c r="F303" s="338"/>
      <c r="G303" s="68" t="s">
        <v>29</v>
      </c>
      <c r="H303" s="339"/>
      <c r="I303" s="68">
        <v>4345</v>
      </c>
      <c r="J303" s="18" t="str">
        <f t="shared" si="53"/>
        <v>SPT021Connect/GGIO1.Ind17</v>
      </c>
      <c r="K303" s="16" t="s">
        <v>328</v>
      </c>
      <c r="L303" s="44" t="s">
        <v>244</v>
      </c>
      <c r="M303" s="44" t="s">
        <v>101</v>
      </c>
      <c r="P303" s="48" t="s">
        <v>61</v>
      </c>
      <c r="S303">
        <f t="shared" si="50"/>
        <v>250</v>
      </c>
      <c r="T303" t="str">
        <f t="shared" si="51"/>
        <v>lb_dd250</v>
      </c>
      <c r="U303" s="47"/>
    </row>
    <row r="304" spans="1:21" s="16" customFormat="1" outlineLevel="1" x14ac:dyDescent="0.3">
      <c r="A304" s="68" t="s">
        <v>29</v>
      </c>
      <c r="B304" s="68" t="s">
        <v>29</v>
      </c>
      <c r="C304" s="68" t="s">
        <v>29</v>
      </c>
      <c r="D304" s="43" t="str">
        <f>CONCATENATE("Наличие связи с ",P301)</f>
        <v>Наличие связи с 1PV4</v>
      </c>
      <c r="E304" s="18" t="s">
        <v>273</v>
      </c>
      <c r="F304" s="338"/>
      <c r="G304" s="68" t="s">
        <v>29</v>
      </c>
      <c r="H304" s="339"/>
      <c r="I304" s="68">
        <v>4346</v>
      </c>
      <c r="J304" s="18" t="str">
        <f t="shared" si="53"/>
        <v>SPT021Connect/GGIO1.Ind18</v>
      </c>
      <c r="K304" s="16" t="s">
        <v>328</v>
      </c>
      <c r="L304" s="44" t="s">
        <v>244</v>
      </c>
      <c r="M304" s="44" t="s">
        <v>102</v>
      </c>
      <c r="P304" s="51" t="s">
        <v>324</v>
      </c>
      <c r="S304">
        <f t="shared" si="50"/>
        <v>251</v>
      </c>
      <c r="T304" t="str">
        <f t="shared" si="51"/>
        <v>lb_dd251</v>
      </c>
      <c r="U304" s="47"/>
    </row>
    <row r="305" spans="1:21" s="16" customFormat="1" outlineLevel="1" x14ac:dyDescent="0.3">
      <c r="A305" s="68" t="s">
        <v>29</v>
      </c>
      <c r="B305" s="68" t="s">
        <v>29</v>
      </c>
      <c r="C305" s="68" t="s">
        <v>29</v>
      </c>
      <c r="D305" s="43" t="str">
        <f t="shared" si="52"/>
        <v>Наличие связи с UG1.ЗВУ1</v>
      </c>
      <c r="E305" s="18" t="s">
        <v>273</v>
      </c>
      <c r="F305" s="338"/>
      <c r="G305" s="68" t="s">
        <v>29</v>
      </c>
      <c r="H305" s="339"/>
      <c r="I305" s="68">
        <v>4347</v>
      </c>
      <c r="J305" s="18" t="str">
        <f t="shared" si="53"/>
        <v>SPT021Connect/GGIO1.Ind19</v>
      </c>
      <c r="K305" s="16" t="s">
        <v>328</v>
      </c>
      <c r="L305" s="44" t="s">
        <v>244</v>
      </c>
      <c r="M305" s="44" t="s">
        <v>326</v>
      </c>
      <c r="P305" s="51" t="s">
        <v>240</v>
      </c>
      <c r="S305">
        <f t="shared" si="50"/>
        <v>252</v>
      </c>
      <c r="T305" t="str">
        <f t="shared" si="51"/>
        <v>lb_dd252</v>
      </c>
      <c r="U305" s="47"/>
    </row>
    <row r="306" spans="1:21" s="16" customFormat="1" outlineLevel="1" x14ac:dyDescent="0.3">
      <c r="A306" s="68" t="s">
        <v>29</v>
      </c>
      <c r="B306" s="68" t="s">
        <v>29</v>
      </c>
      <c r="C306" s="68" t="s">
        <v>29</v>
      </c>
      <c r="D306" s="43" t="str">
        <f t="shared" si="52"/>
        <v>Наличие связи с UG2.ЗВУ2</v>
      </c>
      <c r="E306" s="18" t="s">
        <v>273</v>
      </c>
      <c r="F306" s="338"/>
      <c r="G306" s="68" t="s">
        <v>29</v>
      </c>
      <c r="H306" s="339"/>
      <c r="I306" s="68">
        <v>4348</v>
      </c>
      <c r="J306" s="18" t="str">
        <f t="shared" si="53"/>
        <v>SPT021Connect/GGIO1.Ind20</v>
      </c>
      <c r="K306" s="16" t="s">
        <v>328</v>
      </c>
      <c r="L306" s="44" t="s">
        <v>244</v>
      </c>
      <c r="M306" s="44" t="s">
        <v>327</v>
      </c>
      <c r="P306" s="51" t="s">
        <v>275</v>
      </c>
      <c r="S306">
        <f t="shared" si="50"/>
        <v>253</v>
      </c>
      <c r="T306" t="str">
        <f t="shared" si="51"/>
        <v>lb_dd253</v>
      </c>
      <c r="U306" s="47"/>
    </row>
    <row r="307" spans="1:21" x14ac:dyDescent="0.3">
      <c r="A307" s="340"/>
      <c r="B307" s="340"/>
      <c r="C307" s="340"/>
      <c r="D307" s="340"/>
      <c r="E307" s="340"/>
      <c r="F307" s="340"/>
      <c r="G307" s="340"/>
      <c r="H307" s="340"/>
      <c r="I307" s="340"/>
      <c r="J307" s="340"/>
    </row>
    <row r="308" spans="1:21" x14ac:dyDescent="0.3">
      <c r="A308" s="341" t="s">
        <v>340</v>
      </c>
      <c r="B308" s="341"/>
      <c r="C308" s="341"/>
      <c r="D308" s="341"/>
      <c r="E308" s="341"/>
      <c r="F308" s="341"/>
      <c r="G308" s="341"/>
      <c r="H308" s="341"/>
      <c r="I308" s="341"/>
      <c r="J308" s="341"/>
    </row>
    <row r="309" spans="1:21" x14ac:dyDescent="0.3">
      <c r="A309" s="68" t="s">
        <v>29</v>
      </c>
      <c r="B309" s="68" t="s">
        <v>29</v>
      </c>
      <c r="C309" s="68" t="s">
        <v>29</v>
      </c>
      <c r="D309" s="43" t="s">
        <v>340</v>
      </c>
      <c r="E309" s="18" t="s">
        <v>4</v>
      </c>
      <c r="F309" s="58"/>
      <c r="G309" s="68" t="s">
        <v>29</v>
      </c>
      <c r="H309" s="58"/>
      <c r="I309" s="68">
        <v>4351</v>
      </c>
      <c r="J309" s="18" t="str">
        <f t="shared" ref="J309" si="54">IF(OR(D309="",D309="-"),"",CONCATENATE("SPT021",K309,"/",L309,".",M309))</f>
        <v>SPT021MonSysAlm/GGIO1.Alm1</v>
      </c>
      <c r="K309" s="47" t="s">
        <v>341</v>
      </c>
      <c r="L309" s="44" t="s">
        <v>244</v>
      </c>
      <c r="M309" s="44" t="s">
        <v>37</v>
      </c>
      <c r="S309">
        <f t="shared" ref="S309" si="55">I309-4095</f>
        <v>256</v>
      </c>
      <c r="T309" t="str">
        <f t="shared" ref="T309" si="56">_xlfn.CONCAT($T$1,S309)</f>
        <v>lb_dd256</v>
      </c>
    </row>
    <row r="313" spans="1:21" x14ac:dyDescent="0.3">
      <c r="D313" t="s">
        <v>368</v>
      </c>
    </row>
    <row r="314" spans="1:21" ht="26.25" customHeight="1" x14ac:dyDescent="0.3">
      <c r="A314" s="332" t="s">
        <v>57</v>
      </c>
      <c r="B314" s="332"/>
      <c r="C314" s="332"/>
      <c r="D314" s="333" t="s">
        <v>0</v>
      </c>
      <c r="E314" s="333" t="s">
        <v>26</v>
      </c>
      <c r="F314" s="333" t="s">
        <v>27</v>
      </c>
      <c r="G314" s="333" t="s">
        <v>1</v>
      </c>
      <c r="H314" s="333" t="s">
        <v>366</v>
      </c>
      <c r="I314" s="333"/>
    </row>
    <row r="315" spans="1:21" ht="24.75" customHeight="1" x14ac:dyDescent="0.3">
      <c r="A315" s="66" t="s">
        <v>6</v>
      </c>
      <c r="B315" s="65" t="s">
        <v>5</v>
      </c>
      <c r="C315" s="4" t="s">
        <v>11</v>
      </c>
      <c r="D315" s="333"/>
      <c r="E315" s="333"/>
      <c r="F315" s="333"/>
      <c r="G315" s="333"/>
      <c r="H315" s="65" t="s">
        <v>367</v>
      </c>
      <c r="I315" s="10" t="s">
        <v>454</v>
      </c>
    </row>
    <row r="316" spans="1:21" x14ac:dyDescent="0.3">
      <c r="A316" s="335"/>
      <c r="B316" s="335"/>
      <c r="C316" s="335"/>
      <c r="D316" s="335"/>
      <c r="E316" s="335"/>
      <c r="F316" s="335"/>
      <c r="G316" s="335"/>
      <c r="H316" s="335"/>
      <c r="I316" s="335"/>
    </row>
    <row r="317" spans="1:21" x14ac:dyDescent="0.3">
      <c r="A317" s="331" t="s">
        <v>396</v>
      </c>
      <c r="B317" s="331"/>
      <c r="C317" s="331"/>
      <c r="D317" s="331"/>
      <c r="E317" s="331"/>
      <c r="F317" s="331"/>
      <c r="G317" s="331"/>
      <c r="H317" s="331"/>
      <c r="I317" s="331"/>
    </row>
    <row r="318" spans="1:21" x14ac:dyDescent="0.3">
      <c r="A318" s="268" t="s">
        <v>59</v>
      </c>
      <c r="B318" s="268" t="s">
        <v>7</v>
      </c>
      <c r="C318" s="87">
        <v>4096</v>
      </c>
      <c r="D318" s="87" t="s">
        <v>369</v>
      </c>
      <c r="E318" s="87" t="s">
        <v>370</v>
      </c>
      <c r="F318" s="330" t="s">
        <v>28</v>
      </c>
      <c r="G318" s="58"/>
      <c r="H318" s="58"/>
      <c r="I318" s="89"/>
    </row>
    <row r="319" spans="1:21" x14ac:dyDescent="0.3">
      <c r="A319" s="268"/>
      <c r="B319" s="268"/>
      <c r="C319" s="87">
        <v>4097</v>
      </c>
      <c r="D319" s="87" t="s">
        <v>371</v>
      </c>
      <c r="E319" s="87" t="s">
        <v>370</v>
      </c>
      <c r="F319" s="330"/>
      <c r="G319" s="58"/>
      <c r="H319" s="58"/>
      <c r="I319" s="89"/>
    </row>
    <row r="320" spans="1:21" x14ac:dyDescent="0.3">
      <c r="A320" s="268"/>
      <c r="B320" s="268"/>
      <c r="C320" s="87">
        <v>4098</v>
      </c>
      <c r="D320" s="87" t="s">
        <v>379</v>
      </c>
      <c r="E320" s="87" t="s">
        <v>370</v>
      </c>
      <c r="F320" s="330"/>
      <c r="G320" s="58"/>
      <c r="H320" s="58"/>
      <c r="I320" s="89"/>
    </row>
    <row r="321" spans="1:9" x14ac:dyDescent="0.3">
      <c r="A321" s="268"/>
      <c r="B321" s="268"/>
      <c r="C321" s="87">
        <v>4099</v>
      </c>
      <c r="D321" s="87" t="s">
        <v>380</v>
      </c>
      <c r="E321" s="87" t="s">
        <v>208</v>
      </c>
      <c r="F321" s="330"/>
      <c r="G321" s="58"/>
      <c r="H321" s="58"/>
      <c r="I321" s="89"/>
    </row>
    <row r="322" spans="1:9" x14ac:dyDescent="0.3">
      <c r="A322" s="268"/>
      <c r="B322" s="268"/>
      <c r="C322" s="87">
        <v>4100</v>
      </c>
      <c r="D322" s="90" t="s">
        <v>381</v>
      </c>
      <c r="E322" s="87" t="s">
        <v>208</v>
      </c>
      <c r="F322" s="330"/>
      <c r="G322" s="58"/>
      <c r="H322" s="58"/>
      <c r="I322" s="89"/>
    </row>
    <row r="323" spans="1:9" x14ac:dyDescent="0.3">
      <c r="A323" s="268"/>
      <c r="B323" s="268"/>
      <c r="C323" s="87">
        <v>4101</v>
      </c>
      <c r="D323" s="87" t="s">
        <v>382</v>
      </c>
      <c r="E323" s="87" t="s">
        <v>370</v>
      </c>
      <c r="F323" s="330"/>
      <c r="G323" s="58"/>
      <c r="H323" s="58"/>
      <c r="I323" s="89"/>
    </row>
    <row r="324" spans="1:9" x14ac:dyDescent="0.3">
      <c r="A324" s="268"/>
      <c r="B324" s="268"/>
      <c r="C324" s="87">
        <v>4102</v>
      </c>
      <c r="D324" s="87" t="s">
        <v>383</v>
      </c>
      <c r="E324" s="87" t="s">
        <v>208</v>
      </c>
      <c r="F324" s="330"/>
      <c r="G324" s="58"/>
      <c r="H324" s="58"/>
      <c r="I324" s="89"/>
    </row>
    <row r="325" spans="1:9" x14ac:dyDescent="0.3">
      <c r="A325" s="268"/>
      <c r="B325" s="268"/>
      <c r="C325" s="87">
        <v>4103</v>
      </c>
      <c r="D325" s="90" t="s">
        <v>384</v>
      </c>
      <c r="E325" s="87" t="s">
        <v>208</v>
      </c>
      <c r="F325" s="330"/>
      <c r="G325" s="58"/>
      <c r="H325" s="58"/>
      <c r="I325" s="89"/>
    </row>
    <row r="326" spans="1:9" x14ac:dyDescent="0.3">
      <c r="A326" s="268"/>
      <c r="B326" s="268"/>
      <c r="C326" s="87">
        <v>4104</v>
      </c>
      <c r="D326" s="87" t="s">
        <v>385</v>
      </c>
      <c r="E326" s="87" t="s">
        <v>370</v>
      </c>
      <c r="F326" s="330"/>
      <c r="G326" s="58"/>
      <c r="H326" s="58"/>
      <c r="I326" s="89"/>
    </row>
    <row r="327" spans="1:9" x14ac:dyDescent="0.3">
      <c r="A327" s="268"/>
      <c r="B327" s="268"/>
      <c r="C327" s="87">
        <v>4105</v>
      </c>
      <c r="D327" s="87" t="s">
        <v>386</v>
      </c>
      <c r="E327" s="87" t="s">
        <v>208</v>
      </c>
      <c r="F327" s="330"/>
      <c r="G327" s="58"/>
      <c r="H327" s="58"/>
      <c r="I327" s="89"/>
    </row>
    <row r="328" spans="1:9" hidden="1" x14ac:dyDescent="0.3">
      <c r="A328" s="268"/>
      <c r="B328" s="268"/>
      <c r="C328" s="87">
        <v>4106</v>
      </c>
      <c r="D328" s="87" t="s">
        <v>394</v>
      </c>
      <c r="E328" s="87" t="s">
        <v>394</v>
      </c>
      <c r="F328" s="330"/>
      <c r="G328" s="58"/>
      <c r="H328" s="58"/>
      <c r="I328" s="89"/>
    </row>
    <row r="329" spans="1:9" hidden="1" x14ac:dyDescent="0.3">
      <c r="A329" s="268"/>
      <c r="B329" s="268"/>
      <c r="C329" s="87">
        <v>4107</v>
      </c>
      <c r="D329" s="87" t="s">
        <v>394</v>
      </c>
      <c r="E329" s="87" t="s">
        <v>394</v>
      </c>
      <c r="F329" s="330"/>
      <c r="G329" s="58"/>
      <c r="H329" s="58"/>
      <c r="I329" s="89"/>
    </row>
    <row r="330" spans="1:9" hidden="1" x14ac:dyDescent="0.3">
      <c r="A330" s="268"/>
      <c r="B330" s="268"/>
      <c r="C330" s="87">
        <v>4108</v>
      </c>
      <c r="D330" s="87" t="s">
        <v>394</v>
      </c>
      <c r="E330" s="87" t="s">
        <v>394</v>
      </c>
      <c r="F330" s="330"/>
      <c r="G330" s="58"/>
      <c r="H330" s="58"/>
      <c r="I330" s="89"/>
    </row>
    <row r="331" spans="1:9" hidden="1" x14ac:dyDescent="0.3">
      <c r="A331" s="268"/>
      <c r="B331" s="268"/>
      <c r="C331" s="87">
        <v>4109</v>
      </c>
      <c r="D331" s="87" t="s">
        <v>394</v>
      </c>
      <c r="E331" s="87" t="s">
        <v>394</v>
      </c>
      <c r="F331" s="330"/>
      <c r="G331" s="58"/>
      <c r="H331" s="58"/>
      <c r="I331" s="89"/>
    </row>
    <row r="332" spans="1:9" hidden="1" x14ac:dyDescent="0.3">
      <c r="A332" s="268"/>
      <c r="B332" s="268"/>
      <c r="C332" s="87">
        <v>4110</v>
      </c>
      <c r="D332" s="87" t="s">
        <v>394</v>
      </c>
      <c r="E332" s="87" t="s">
        <v>394</v>
      </c>
      <c r="F332" s="330"/>
      <c r="G332" s="58"/>
      <c r="H332" s="58"/>
      <c r="I332" s="89"/>
    </row>
    <row r="333" spans="1:9" hidden="1" x14ac:dyDescent="0.3">
      <c r="A333" s="268"/>
      <c r="B333" s="268"/>
      <c r="C333" s="87">
        <v>4111</v>
      </c>
      <c r="D333" s="87" t="s">
        <v>394</v>
      </c>
      <c r="E333" s="87" t="s">
        <v>394</v>
      </c>
      <c r="F333" s="330"/>
      <c r="G333" s="58"/>
      <c r="H333" s="58"/>
      <c r="I333" s="89"/>
    </row>
    <row r="334" spans="1:9" ht="15.75" hidden="1" customHeight="1" thickBot="1" x14ac:dyDescent="0.35">
      <c r="A334" s="268"/>
      <c r="B334" s="330">
        <v>3</v>
      </c>
      <c r="C334" s="87">
        <v>515</v>
      </c>
      <c r="D334" s="87" t="s">
        <v>372</v>
      </c>
      <c r="E334" s="87" t="s">
        <v>208</v>
      </c>
      <c r="F334" s="91"/>
      <c r="G334" s="58"/>
      <c r="H334" s="58"/>
      <c r="I334" s="89"/>
    </row>
    <row r="335" spans="1:9" ht="15.75" hidden="1" customHeight="1" thickBot="1" x14ac:dyDescent="0.35">
      <c r="A335" s="268"/>
      <c r="B335" s="330"/>
      <c r="C335" s="87">
        <v>516</v>
      </c>
      <c r="D335" s="87" t="s">
        <v>373</v>
      </c>
      <c r="E335" s="87" t="s">
        <v>370</v>
      </c>
      <c r="F335" s="91"/>
      <c r="G335" s="58"/>
      <c r="H335" s="58"/>
      <c r="I335" s="89"/>
    </row>
    <row r="336" spans="1:9" ht="15.75" hidden="1" customHeight="1" thickBot="1" x14ac:dyDescent="0.35">
      <c r="A336" s="268"/>
      <c r="B336" s="330"/>
      <c r="C336" s="87">
        <v>517</v>
      </c>
      <c r="D336" s="87" t="s">
        <v>374</v>
      </c>
      <c r="E336" s="87" t="s">
        <v>208</v>
      </c>
      <c r="F336" s="91"/>
      <c r="G336" s="58"/>
      <c r="H336" s="58"/>
      <c r="I336" s="89"/>
    </row>
    <row r="337" spans="1:9" ht="15.75" hidden="1" customHeight="1" thickBot="1" x14ac:dyDescent="0.35">
      <c r="A337" s="268"/>
      <c r="B337" s="330"/>
      <c r="C337" s="87">
        <v>518</v>
      </c>
      <c r="D337" s="87" t="s">
        <v>375</v>
      </c>
      <c r="E337" s="87" t="s">
        <v>208</v>
      </c>
      <c r="F337" s="91"/>
      <c r="G337" s="58"/>
      <c r="H337" s="58"/>
      <c r="I337" s="89"/>
    </row>
    <row r="338" spans="1:9" ht="15.75" hidden="1" customHeight="1" thickBot="1" x14ac:dyDescent="0.35">
      <c r="A338" s="268"/>
      <c r="B338" s="330"/>
      <c r="C338" s="87">
        <v>519</v>
      </c>
      <c r="D338" s="87" t="s">
        <v>376</v>
      </c>
      <c r="E338" s="87" t="s">
        <v>208</v>
      </c>
      <c r="F338" s="91"/>
      <c r="G338" s="58"/>
      <c r="H338" s="58"/>
      <c r="I338" s="89"/>
    </row>
    <row r="339" spans="1:9" ht="15.75" hidden="1" customHeight="1" thickBot="1" x14ac:dyDescent="0.35">
      <c r="A339" s="268"/>
      <c r="B339" s="330"/>
      <c r="C339" s="87">
        <v>520</v>
      </c>
      <c r="D339" s="87" t="s">
        <v>377</v>
      </c>
      <c r="E339" s="87" t="s">
        <v>208</v>
      </c>
      <c r="F339" s="91"/>
      <c r="G339" s="58"/>
      <c r="H339" s="58"/>
      <c r="I339" s="89"/>
    </row>
    <row r="340" spans="1:9" x14ac:dyDescent="0.3">
      <c r="A340" s="268"/>
      <c r="B340" s="334" t="s">
        <v>409</v>
      </c>
      <c r="C340" s="87">
        <v>514</v>
      </c>
      <c r="D340" s="87" t="s">
        <v>387</v>
      </c>
      <c r="E340" s="87">
        <v>1</v>
      </c>
      <c r="F340" s="330" t="s">
        <v>378</v>
      </c>
      <c r="G340" s="58"/>
      <c r="H340" s="58"/>
      <c r="I340" s="89"/>
    </row>
    <row r="341" spans="1:9" x14ac:dyDescent="0.3">
      <c r="A341" s="268"/>
      <c r="B341" s="334"/>
      <c r="C341" s="87">
        <f>C340+0</f>
        <v>514</v>
      </c>
      <c r="D341" s="87" t="s">
        <v>388</v>
      </c>
      <c r="E341" s="87">
        <f>E340+1</f>
        <v>2</v>
      </c>
      <c r="F341" s="330"/>
      <c r="G341" s="92"/>
      <c r="H341" s="92"/>
      <c r="I341" s="93"/>
    </row>
    <row r="342" spans="1:9" x14ac:dyDescent="0.3">
      <c r="A342" s="268"/>
      <c r="B342" s="334"/>
      <c r="C342" s="87">
        <f t="shared" ref="C342:C346" si="57">C341+0</f>
        <v>514</v>
      </c>
      <c r="D342" s="87" t="s">
        <v>389</v>
      </c>
      <c r="E342" s="87">
        <f t="shared" ref="E342:E346" si="58">E341+1</f>
        <v>3</v>
      </c>
      <c r="F342" s="330"/>
      <c r="G342" s="92"/>
      <c r="H342" s="92"/>
      <c r="I342" s="93"/>
    </row>
    <row r="343" spans="1:9" x14ac:dyDescent="0.3">
      <c r="A343" s="268"/>
      <c r="B343" s="334"/>
      <c r="C343" s="87">
        <f t="shared" si="57"/>
        <v>514</v>
      </c>
      <c r="D343" s="87" t="s">
        <v>390</v>
      </c>
      <c r="E343" s="87">
        <f t="shared" si="58"/>
        <v>4</v>
      </c>
      <c r="F343" s="330"/>
      <c r="G343" s="92"/>
      <c r="H343" s="92"/>
      <c r="I343" s="93"/>
    </row>
    <row r="344" spans="1:9" x14ac:dyDescent="0.3">
      <c r="A344" s="268"/>
      <c r="B344" s="334"/>
      <c r="C344" s="87">
        <f t="shared" si="57"/>
        <v>514</v>
      </c>
      <c r="D344" s="87" t="s">
        <v>391</v>
      </c>
      <c r="E344" s="87">
        <f t="shared" si="58"/>
        <v>5</v>
      </c>
      <c r="F344" s="330"/>
      <c r="G344" s="92"/>
      <c r="H344" s="92"/>
      <c r="I344" s="93"/>
    </row>
    <row r="345" spans="1:9" x14ac:dyDescent="0.3">
      <c r="A345" s="268"/>
      <c r="B345" s="334"/>
      <c r="C345" s="87">
        <f t="shared" si="57"/>
        <v>514</v>
      </c>
      <c r="D345" s="87" t="s">
        <v>392</v>
      </c>
      <c r="E345" s="87">
        <f t="shared" si="58"/>
        <v>6</v>
      </c>
      <c r="F345" s="330"/>
      <c r="G345" s="92"/>
      <c r="H345" s="92"/>
      <c r="I345" s="93"/>
    </row>
    <row r="346" spans="1:9" x14ac:dyDescent="0.3">
      <c r="A346" s="268"/>
      <c r="B346" s="334"/>
      <c r="C346" s="87">
        <f t="shared" si="57"/>
        <v>514</v>
      </c>
      <c r="D346" s="87" t="s">
        <v>393</v>
      </c>
      <c r="E346" s="87">
        <f t="shared" si="58"/>
        <v>7</v>
      </c>
      <c r="F346" s="330"/>
      <c r="G346" s="92"/>
      <c r="H346" s="92"/>
      <c r="I346" s="93"/>
    </row>
    <row r="347" spans="1:9" x14ac:dyDescent="0.3">
      <c r="A347" s="94"/>
      <c r="B347" s="92"/>
      <c r="C347" s="95"/>
      <c r="D347" s="92"/>
      <c r="E347" s="92"/>
      <c r="F347" s="92"/>
      <c r="G347" s="92"/>
      <c r="H347" s="92"/>
      <c r="I347" s="93"/>
    </row>
    <row r="348" spans="1:9" ht="27" customHeight="1" x14ac:dyDescent="0.3">
      <c r="A348" s="332" t="s">
        <v>395</v>
      </c>
      <c r="B348" s="332"/>
      <c r="C348" s="332"/>
      <c r="D348" s="333" t="s">
        <v>0</v>
      </c>
      <c r="E348" s="333" t="s">
        <v>26</v>
      </c>
      <c r="F348" s="333" t="s">
        <v>27</v>
      </c>
      <c r="G348" s="333" t="s">
        <v>1</v>
      </c>
      <c r="H348" s="333" t="s">
        <v>366</v>
      </c>
      <c r="I348" s="333"/>
    </row>
    <row r="349" spans="1:9" ht="26.4" x14ac:dyDescent="0.3">
      <c r="A349" s="66" t="s">
        <v>6</v>
      </c>
      <c r="B349" s="65" t="s">
        <v>5</v>
      </c>
      <c r="C349" s="4" t="s">
        <v>11</v>
      </c>
      <c r="D349" s="333"/>
      <c r="E349" s="333"/>
      <c r="F349" s="333"/>
      <c r="G349" s="333"/>
      <c r="H349" s="65" t="s">
        <v>367</v>
      </c>
      <c r="I349" s="10" t="s">
        <v>454</v>
      </c>
    </row>
    <row r="350" spans="1:9" x14ac:dyDescent="0.3">
      <c r="A350" s="94"/>
      <c r="B350" s="92"/>
      <c r="C350" s="95"/>
      <c r="D350" s="92"/>
      <c r="E350" s="92"/>
      <c r="F350" s="92"/>
      <c r="G350" s="92"/>
      <c r="H350" s="92"/>
      <c r="I350" s="93"/>
    </row>
    <row r="351" spans="1:9" x14ac:dyDescent="0.3">
      <c r="A351" s="331" t="s">
        <v>397</v>
      </c>
      <c r="B351" s="331"/>
      <c r="C351" s="331"/>
      <c r="D351" s="331"/>
      <c r="E351" s="331"/>
      <c r="F351" s="331"/>
      <c r="G351" s="331"/>
      <c r="H351" s="331"/>
      <c r="I351" s="331"/>
    </row>
    <row r="352" spans="1:9" x14ac:dyDescent="0.3">
      <c r="A352" s="268" t="s">
        <v>7</v>
      </c>
      <c r="B352" s="268" t="s">
        <v>7</v>
      </c>
      <c r="C352" s="95" t="s">
        <v>8</v>
      </c>
      <c r="D352" s="87" t="s">
        <v>398</v>
      </c>
      <c r="E352" s="92" t="s">
        <v>207</v>
      </c>
      <c r="F352" s="330" t="s">
        <v>28</v>
      </c>
      <c r="G352" s="92"/>
      <c r="H352" s="92"/>
      <c r="I352" s="93"/>
    </row>
    <row r="353" spans="1:9" x14ac:dyDescent="0.3">
      <c r="A353" s="268"/>
      <c r="B353" s="268"/>
      <c r="C353" s="95" t="s">
        <v>9</v>
      </c>
      <c r="D353" s="87" t="s">
        <v>399</v>
      </c>
      <c r="E353" s="92" t="s">
        <v>410</v>
      </c>
      <c r="F353" s="330"/>
      <c r="G353" s="92"/>
      <c r="H353" s="92"/>
      <c r="I353" s="93"/>
    </row>
    <row r="354" spans="1:9" x14ac:dyDescent="0.3">
      <c r="A354" s="268"/>
      <c r="B354" s="268"/>
      <c r="C354" s="95" t="s">
        <v>13</v>
      </c>
      <c r="D354" s="87" t="s">
        <v>400</v>
      </c>
      <c r="E354" s="92" t="s">
        <v>411</v>
      </c>
      <c r="F354" s="330"/>
      <c r="G354" s="92"/>
      <c r="H354" s="92"/>
      <c r="I354" s="93"/>
    </row>
    <row r="355" spans="1:9" x14ac:dyDescent="0.3">
      <c r="A355" s="268"/>
      <c r="B355" s="268"/>
      <c r="C355" s="95" t="s">
        <v>14</v>
      </c>
      <c r="D355" s="87" t="s">
        <v>401</v>
      </c>
      <c r="E355" s="92" t="s">
        <v>412</v>
      </c>
      <c r="F355" s="330"/>
      <c r="G355" s="92"/>
      <c r="H355" s="92"/>
      <c r="I355" s="93"/>
    </row>
    <row r="356" spans="1:9" x14ac:dyDescent="0.3">
      <c r="A356" s="268"/>
      <c r="B356" s="268"/>
      <c r="C356" s="95" t="s">
        <v>15</v>
      </c>
      <c r="D356" s="87" t="s">
        <v>402</v>
      </c>
      <c r="E356" s="92" t="s">
        <v>413</v>
      </c>
      <c r="F356" s="330"/>
      <c r="G356" s="92"/>
      <c r="H356" s="92"/>
      <c r="I356" s="93"/>
    </row>
    <row r="357" spans="1:9" x14ac:dyDescent="0.3">
      <c r="A357" s="268"/>
      <c r="B357" s="268"/>
      <c r="C357" s="95" t="s">
        <v>16</v>
      </c>
      <c r="D357" s="87" t="s">
        <v>403</v>
      </c>
      <c r="E357" s="92" t="s">
        <v>414</v>
      </c>
      <c r="F357" s="330"/>
      <c r="G357" s="92"/>
      <c r="H357" s="92"/>
      <c r="I357" s="93"/>
    </row>
    <row r="358" spans="1:9" x14ac:dyDescent="0.3">
      <c r="A358" s="268"/>
      <c r="B358" s="268"/>
      <c r="C358" s="95" t="s">
        <v>17</v>
      </c>
      <c r="D358" s="87" t="s">
        <v>452</v>
      </c>
      <c r="E358" s="92" t="s">
        <v>274</v>
      </c>
      <c r="F358" s="330"/>
      <c r="G358" s="92"/>
      <c r="H358" s="92"/>
      <c r="I358" s="93"/>
    </row>
    <row r="359" spans="1:9" x14ac:dyDescent="0.3">
      <c r="A359" s="268"/>
      <c r="B359" s="268"/>
      <c r="C359" s="95" t="s">
        <v>18</v>
      </c>
      <c r="D359" s="92" t="s">
        <v>453</v>
      </c>
      <c r="E359" s="92" t="s">
        <v>274</v>
      </c>
      <c r="F359" s="330"/>
      <c r="G359" s="92"/>
      <c r="H359" s="92"/>
      <c r="I359" s="93"/>
    </row>
    <row r="360" spans="1:9" x14ac:dyDescent="0.3">
      <c r="A360" s="268"/>
      <c r="B360" s="268"/>
      <c r="C360" s="95" t="s">
        <v>19</v>
      </c>
      <c r="D360" s="92" t="s">
        <v>404</v>
      </c>
      <c r="E360" s="92" t="s">
        <v>208</v>
      </c>
      <c r="F360" s="330"/>
      <c r="G360" s="92"/>
      <c r="H360" s="92"/>
      <c r="I360" s="93"/>
    </row>
    <row r="361" spans="1:9" x14ac:dyDescent="0.3">
      <c r="A361" s="268"/>
      <c r="B361" s="268"/>
      <c r="C361" s="95" t="s">
        <v>20</v>
      </c>
      <c r="D361" s="92" t="s">
        <v>405</v>
      </c>
      <c r="E361" s="92" t="s">
        <v>208</v>
      </c>
      <c r="F361" s="330"/>
      <c r="G361" s="92"/>
      <c r="H361" s="92"/>
      <c r="I361" s="93"/>
    </row>
    <row r="362" spans="1:9" x14ac:dyDescent="0.3">
      <c r="A362" s="268"/>
      <c r="B362" s="268"/>
      <c r="C362" s="95" t="s">
        <v>21</v>
      </c>
      <c r="D362" s="92" t="s">
        <v>406</v>
      </c>
      <c r="E362" s="92" t="s">
        <v>208</v>
      </c>
      <c r="F362" s="330"/>
      <c r="G362" s="92"/>
      <c r="H362" s="92"/>
      <c r="I362" s="93"/>
    </row>
    <row r="363" spans="1:9" x14ac:dyDescent="0.3">
      <c r="A363" s="268"/>
      <c r="B363" s="268"/>
      <c r="C363" s="95" t="s">
        <v>22</v>
      </c>
      <c r="D363" s="92" t="s">
        <v>407</v>
      </c>
      <c r="E363" s="92" t="s">
        <v>208</v>
      </c>
      <c r="F363" s="330"/>
      <c r="G363" s="92"/>
      <c r="H363" s="92"/>
      <c r="I363" s="93"/>
    </row>
    <row r="364" spans="1:9" x14ac:dyDescent="0.3">
      <c r="A364" s="268"/>
      <c r="B364" s="268"/>
      <c r="C364" s="95" t="s">
        <v>23</v>
      </c>
      <c r="D364" s="92" t="s">
        <v>408</v>
      </c>
      <c r="E364" s="92" t="s">
        <v>208</v>
      </c>
      <c r="F364" s="330"/>
      <c r="G364" s="92"/>
      <c r="H364" s="92"/>
      <c r="I364" s="93"/>
    </row>
    <row r="365" spans="1:9" x14ac:dyDescent="0.3">
      <c r="A365" s="94"/>
      <c r="B365" s="92"/>
      <c r="C365" s="95"/>
      <c r="D365" s="92"/>
      <c r="E365" s="92"/>
      <c r="F365" s="92"/>
      <c r="G365" s="92"/>
      <c r="H365" s="92"/>
      <c r="I365" s="93"/>
    </row>
    <row r="366" spans="1:9" s="85" customFormat="1" ht="15" customHeight="1" x14ac:dyDescent="0.3">
      <c r="A366" s="331" t="s">
        <v>415</v>
      </c>
      <c r="B366" s="331"/>
      <c r="C366" s="331"/>
      <c r="D366" s="331"/>
      <c r="E366" s="331"/>
      <c r="F366" s="331"/>
      <c r="G366" s="331"/>
      <c r="H366" s="331"/>
      <c r="I366" s="331"/>
    </row>
    <row r="367" spans="1:9" x14ac:dyDescent="0.3">
      <c r="A367" s="94"/>
      <c r="B367" s="92"/>
      <c r="C367" s="95" t="s">
        <v>416</v>
      </c>
      <c r="D367" s="92" t="s">
        <v>442</v>
      </c>
      <c r="E367" s="92"/>
      <c r="F367" s="330" t="s">
        <v>30</v>
      </c>
      <c r="G367" s="92"/>
      <c r="H367" s="92"/>
      <c r="I367" s="93">
        <v>13</v>
      </c>
    </row>
    <row r="368" spans="1:9" x14ac:dyDescent="0.3">
      <c r="A368" s="94"/>
      <c r="B368" s="92"/>
      <c r="C368" s="95" t="s">
        <v>417</v>
      </c>
      <c r="D368" s="92" t="s">
        <v>443</v>
      </c>
      <c r="E368" s="92"/>
      <c r="F368" s="330"/>
      <c r="G368" s="92"/>
      <c r="H368" s="92"/>
      <c r="I368" s="93">
        <v>13</v>
      </c>
    </row>
    <row r="369" spans="1:9" x14ac:dyDescent="0.3">
      <c r="A369" s="94"/>
      <c r="B369" s="92"/>
      <c r="C369" s="95" t="s">
        <v>418</v>
      </c>
      <c r="D369" s="92" t="s">
        <v>444</v>
      </c>
      <c r="E369" s="92"/>
      <c r="F369" s="330"/>
      <c r="G369" s="92"/>
      <c r="H369" s="92"/>
      <c r="I369" s="93">
        <v>13</v>
      </c>
    </row>
    <row r="370" spans="1:9" x14ac:dyDescent="0.3">
      <c r="A370" s="94"/>
      <c r="B370" s="92"/>
      <c r="C370" s="95" t="s">
        <v>419</v>
      </c>
      <c r="D370" s="92" t="s">
        <v>445</v>
      </c>
      <c r="E370" s="92"/>
      <c r="F370" s="330"/>
      <c r="G370" s="92"/>
      <c r="H370" s="92"/>
      <c r="I370" s="93">
        <v>13</v>
      </c>
    </row>
    <row r="371" spans="1:9" x14ac:dyDescent="0.3">
      <c r="A371" s="94"/>
      <c r="B371" s="92"/>
      <c r="C371" s="95" t="s">
        <v>420</v>
      </c>
      <c r="D371" s="92"/>
      <c r="E371" s="92"/>
      <c r="F371" s="330"/>
      <c r="G371" s="92"/>
      <c r="H371" s="92"/>
      <c r="I371" s="93">
        <v>13</v>
      </c>
    </row>
    <row r="372" spans="1:9" x14ac:dyDescent="0.3">
      <c r="A372" s="94"/>
      <c r="B372" s="92"/>
      <c r="C372" s="95" t="s">
        <v>421</v>
      </c>
      <c r="D372" s="92"/>
      <c r="E372" s="92"/>
      <c r="F372" s="330"/>
      <c r="G372" s="92"/>
      <c r="H372" s="92"/>
      <c r="I372" s="93">
        <v>13</v>
      </c>
    </row>
    <row r="373" spans="1:9" x14ac:dyDescent="0.3">
      <c r="A373" s="94"/>
      <c r="B373" s="92"/>
      <c r="C373" s="95" t="s">
        <v>422</v>
      </c>
      <c r="D373" s="92"/>
      <c r="E373" s="92"/>
      <c r="F373" s="330"/>
      <c r="G373" s="92"/>
      <c r="H373" s="92"/>
      <c r="I373" s="93">
        <v>13</v>
      </c>
    </row>
    <row r="374" spans="1:9" x14ac:dyDescent="0.3">
      <c r="A374" s="94"/>
      <c r="B374" s="92"/>
      <c r="C374" s="95" t="s">
        <v>423</v>
      </c>
      <c r="D374" s="58" t="s">
        <v>446</v>
      </c>
      <c r="E374" s="92"/>
      <c r="F374" s="330"/>
      <c r="G374" s="92"/>
      <c r="H374" s="92"/>
      <c r="I374" s="93">
        <v>13</v>
      </c>
    </row>
    <row r="375" spans="1:9" x14ac:dyDescent="0.3">
      <c r="A375" s="94"/>
      <c r="B375" s="92"/>
      <c r="C375" s="95" t="s">
        <v>424</v>
      </c>
      <c r="D375" s="92"/>
      <c r="E375" s="92"/>
      <c r="F375" s="330"/>
      <c r="G375" s="92"/>
      <c r="H375" s="92"/>
      <c r="I375" s="93">
        <v>13</v>
      </c>
    </row>
    <row r="376" spans="1:9" x14ac:dyDescent="0.3">
      <c r="A376" s="94"/>
      <c r="B376" s="92"/>
      <c r="C376" s="95" t="s">
        <v>425</v>
      </c>
      <c r="D376" s="92"/>
      <c r="E376" s="92"/>
      <c r="F376" s="330"/>
      <c r="G376" s="92"/>
      <c r="H376" s="92"/>
      <c r="I376" s="93">
        <v>13</v>
      </c>
    </row>
    <row r="377" spans="1:9" x14ac:dyDescent="0.3">
      <c r="A377" s="94"/>
      <c r="B377" s="92"/>
      <c r="C377" s="95" t="s">
        <v>426</v>
      </c>
      <c r="D377" s="92"/>
      <c r="E377" s="92"/>
      <c r="F377" s="330"/>
      <c r="G377" s="92"/>
      <c r="H377" s="92"/>
      <c r="I377" s="93">
        <v>13</v>
      </c>
    </row>
    <row r="378" spans="1:9" x14ac:dyDescent="0.3">
      <c r="A378" s="94"/>
      <c r="B378" s="92"/>
      <c r="C378" s="95" t="s">
        <v>427</v>
      </c>
      <c r="D378" s="58" t="s">
        <v>447</v>
      </c>
      <c r="E378" s="92"/>
      <c r="F378" s="330"/>
      <c r="G378" s="92"/>
      <c r="H378" s="92"/>
      <c r="I378" s="93">
        <v>13</v>
      </c>
    </row>
    <row r="379" spans="1:9" x14ac:dyDescent="0.3">
      <c r="A379" s="94"/>
      <c r="B379" s="92"/>
      <c r="C379" s="95" t="s">
        <v>428</v>
      </c>
      <c r="D379" s="92"/>
      <c r="E379" s="92"/>
      <c r="F379" s="330"/>
      <c r="G379" s="92"/>
      <c r="H379" s="92"/>
      <c r="I379" s="93">
        <v>13</v>
      </c>
    </row>
    <row r="380" spans="1:9" x14ac:dyDescent="0.3">
      <c r="A380" s="94"/>
      <c r="B380" s="92"/>
      <c r="C380" s="95" t="s">
        <v>429</v>
      </c>
      <c r="D380" s="92"/>
      <c r="E380" s="92"/>
      <c r="F380" s="330"/>
      <c r="G380" s="92"/>
      <c r="H380" s="92"/>
      <c r="I380" s="93">
        <v>13</v>
      </c>
    </row>
    <row r="381" spans="1:9" x14ac:dyDescent="0.3">
      <c r="A381" s="94"/>
      <c r="B381" s="92"/>
      <c r="C381" s="95" t="s">
        <v>430</v>
      </c>
      <c r="D381" s="92"/>
      <c r="E381" s="92"/>
      <c r="F381" s="330"/>
      <c r="G381" s="92"/>
      <c r="H381" s="92"/>
      <c r="I381" s="93">
        <v>13</v>
      </c>
    </row>
    <row r="382" spans="1:9" x14ac:dyDescent="0.3">
      <c r="A382" s="94"/>
      <c r="B382" s="92"/>
      <c r="C382" s="95" t="s">
        <v>431</v>
      </c>
      <c r="D382" s="58" t="s">
        <v>448</v>
      </c>
      <c r="E382" s="92"/>
      <c r="F382" s="330"/>
      <c r="G382" s="92"/>
      <c r="H382" s="92"/>
      <c r="I382" s="96">
        <v>13</v>
      </c>
    </row>
    <row r="383" spans="1:9" x14ac:dyDescent="0.3">
      <c r="A383" s="94"/>
      <c r="B383" s="92"/>
      <c r="C383" s="95" t="s">
        <v>432</v>
      </c>
      <c r="D383" s="92"/>
      <c r="E383" s="92"/>
      <c r="F383" s="330"/>
      <c r="G383" s="92"/>
      <c r="H383" s="92"/>
      <c r="I383" s="93">
        <v>13</v>
      </c>
    </row>
    <row r="384" spans="1:9" x14ac:dyDescent="0.3">
      <c r="A384" s="94"/>
      <c r="B384" s="92"/>
      <c r="C384" s="95" t="s">
        <v>433</v>
      </c>
      <c r="D384" s="92"/>
      <c r="E384" s="92"/>
      <c r="F384" s="330"/>
      <c r="G384" s="92"/>
      <c r="H384" s="92"/>
      <c r="I384" s="93">
        <v>13</v>
      </c>
    </row>
    <row r="385" spans="1:9" x14ac:dyDescent="0.3">
      <c r="A385" s="94"/>
      <c r="B385" s="92"/>
      <c r="C385" s="95" t="s">
        <v>434</v>
      </c>
      <c r="D385" s="92"/>
      <c r="E385" s="92"/>
      <c r="F385" s="330"/>
      <c r="G385" s="92"/>
      <c r="H385" s="92"/>
      <c r="I385" s="93">
        <v>13</v>
      </c>
    </row>
    <row r="386" spans="1:9" x14ac:dyDescent="0.3">
      <c r="A386" s="94"/>
      <c r="B386" s="92"/>
      <c r="C386" s="95" t="s">
        <v>435</v>
      </c>
      <c r="D386" s="58" t="s">
        <v>449</v>
      </c>
      <c r="E386" s="92"/>
      <c r="F386" s="330"/>
      <c r="G386" s="92"/>
      <c r="H386" s="92"/>
      <c r="I386" s="93">
        <v>13</v>
      </c>
    </row>
    <row r="387" spans="1:9" x14ac:dyDescent="0.3">
      <c r="A387" s="94"/>
      <c r="B387" s="92"/>
      <c r="C387" s="95" t="s">
        <v>436</v>
      </c>
      <c r="D387" s="92"/>
      <c r="E387" s="92"/>
      <c r="F387" s="330"/>
      <c r="G387" s="92"/>
      <c r="H387" s="92"/>
      <c r="I387" s="93">
        <v>13</v>
      </c>
    </row>
    <row r="388" spans="1:9" x14ac:dyDescent="0.3">
      <c r="A388" s="94"/>
      <c r="B388" s="92"/>
      <c r="C388" s="95" t="s">
        <v>437</v>
      </c>
      <c r="D388" s="92"/>
      <c r="E388" s="92"/>
      <c r="F388" s="330"/>
      <c r="G388" s="92"/>
      <c r="H388" s="92"/>
      <c r="I388" s="93">
        <v>13</v>
      </c>
    </row>
    <row r="389" spans="1:9" x14ac:dyDescent="0.3">
      <c r="A389" s="94"/>
      <c r="B389" s="92"/>
      <c r="C389" s="95" t="s">
        <v>438</v>
      </c>
      <c r="D389" s="92"/>
      <c r="E389" s="92"/>
      <c r="F389" s="330"/>
      <c r="G389" s="92"/>
      <c r="H389" s="92"/>
      <c r="I389" s="93">
        <v>13</v>
      </c>
    </row>
    <row r="390" spans="1:9" x14ac:dyDescent="0.3">
      <c r="A390" s="94"/>
      <c r="B390" s="92"/>
      <c r="C390" s="95" t="s">
        <v>439</v>
      </c>
      <c r="D390" s="58" t="s">
        <v>450</v>
      </c>
      <c r="E390" s="92"/>
      <c r="F390" s="330"/>
      <c r="G390" s="92"/>
      <c r="H390" s="92"/>
      <c r="I390" s="93">
        <v>13</v>
      </c>
    </row>
    <row r="391" spans="1:9" x14ac:dyDescent="0.3">
      <c r="A391" s="94"/>
      <c r="B391" s="92"/>
      <c r="C391" s="95" t="s">
        <v>440</v>
      </c>
      <c r="D391" s="92" t="s">
        <v>441</v>
      </c>
      <c r="E391" s="92"/>
      <c r="F391" s="330"/>
      <c r="G391" s="92"/>
      <c r="H391" s="92"/>
      <c r="I391" s="93">
        <v>13</v>
      </c>
    </row>
    <row r="392" spans="1:9" x14ac:dyDescent="0.3">
      <c r="A392" s="94"/>
      <c r="B392" s="92"/>
      <c r="C392" s="95"/>
      <c r="D392" s="92"/>
      <c r="E392" s="92"/>
      <c r="F392" s="92"/>
      <c r="G392" s="92"/>
      <c r="H392" s="92"/>
      <c r="I392" s="93"/>
    </row>
    <row r="393" spans="1:9" x14ac:dyDescent="0.3">
      <c r="A393" s="331" t="s">
        <v>451</v>
      </c>
      <c r="B393" s="331"/>
      <c r="C393" s="331"/>
      <c r="D393" s="331"/>
      <c r="E393" s="331"/>
      <c r="F393" s="331"/>
      <c r="G393" s="331"/>
      <c r="H393" s="331"/>
      <c r="I393" s="331"/>
    </row>
    <row r="394" spans="1:9" x14ac:dyDescent="0.3">
      <c r="A394" s="81"/>
      <c r="B394" s="82"/>
      <c r="C394" s="84"/>
      <c r="D394" s="82"/>
      <c r="E394" s="82"/>
      <c r="F394" s="82"/>
      <c r="G394" s="82"/>
      <c r="H394" s="82"/>
      <c r="I394" s="83"/>
    </row>
    <row r="395" spans="1:9" x14ac:dyDescent="0.3">
      <c r="A395" s="81"/>
      <c r="B395" s="82"/>
      <c r="C395" s="84"/>
      <c r="D395" s="82"/>
      <c r="E395" s="82"/>
      <c r="F395" s="82"/>
      <c r="G395" s="82"/>
      <c r="H395" s="82"/>
      <c r="I395" s="83"/>
    </row>
    <row r="396" spans="1:9" x14ac:dyDescent="0.3">
      <c r="A396" s="81"/>
      <c r="B396" s="82"/>
      <c r="C396" s="84"/>
      <c r="D396" s="82"/>
      <c r="E396" s="82"/>
      <c r="F396" s="82"/>
      <c r="G396" s="82"/>
      <c r="H396" s="82"/>
      <c r="I396" s="83"/>
    </row>
    <row r="397" spans="1:9" x14ac:dyDescent="0.3">
      <c r="A397" s="81"/>
      <c r="B397" s="82"/>
      <c r="C397" s="84"/>
      <c r="D397" s="82"/>
      <c r="E397" s="82"/>
      <c r="F397" s="82"/>
      <c r="G397" s="82"/>
      <c r="H397" s="82"/>
      <c r="I397" s="83"/>
    </row>
    <row r="398" spans="1:9" x14ac:dyDescent="0.3">
      <c r="A398" s="81"/>
      <c r="B398" s="82"/>
      <c r="C398" s="84"/>
      <c r="D398" s="82"/>
      <c r="E398" s="82"/>
      <c r="F398" s="82"/>
      <c r="G398" s="82"/>
      <c r="H398" s="82"/>
      <c r="I398" s="83"/>
    </row>
    <row r="399" spans="1:9" x14ac:dyDescent="0.3">
      <c r="A399" s="81"/>
      <c r="B399" s="82"/>
      <c r="C399" s="84"/>
      <c r="D399" s="82"/>
      <c r="E399" s="82"/>
      <c r="F399" s="82"/>
      <c r="G399" s="82"/>
      <c r="H399" s="82"/>
      <c r="I399" s="83"/>
    </row>
    <row r="400" spans="1:9" x14ac:dyDescent="0.3">
      <c r="A400" s="81"/>
      <c r="B400" s="82"/>
      <c r="C400" s="84"/>
      <c r="D400" s="82"/>
      <c r="E400" s="82"/>
      <c r="F400" s="82"/>
      <c r="G400" s="82"/>
      <c r="H400" s="82"/>
      <c r="I400" s="83"/>
    </row>
    <row r="401" spans="1:9" x14ac:dyDescent="0.3">
      <c r="A401" s="81"/>
      <c r="B401" s="82"/>
      <c r="C401" s="84"/>
      <c r="D401" s="82"/>
      <c r="E401" s="82"/>
      <c r="F401" s="82"/>
      <c r="G401" s="82"/>
      <c r="H401" s="82"/>
      <c r="I401" s="83"/>
    </row>
    <row r="402" spans="1:9" x14ac:dyDescent="0.3">
      <c r="A402" s="81"/>
      <c r="B402" s="82"/>
      <c r="C402" s="84"/>
      <c r="D402" s="82"/>
      <c r="E402" s="82"/>
      <c r="F402" s="82"/>
      <c r="G402" s="82"/>
      <c r="H402" s="82"/>
      <c r="I402" s="83"/>
    </row>
    <row r="403" spans="1:9" x14ac:dyDescent="0.3">
      <c r="A403" s="81"/>
      <c r="B403" s="82"/>
      <c r="C403" s="84"/>
      <c r="D403" s="82"/>
      <c r="E403" s="82"/>
      <c r="F403" s="82"/>
      <c r="G403" s="82"/>
      <c r="H403" s="82"/>
      <c r="I403" s="83"/>
    </row>
    <row r="404" spans="1:9" x14ac:dyDescent="0.3">
      <c r="A404" s="81"/>
      <c r="B404" s="82"/>
      <c r="C404" s="84"/>
      <c r="D404" s="82"/>
      <c r="E404" s="82"/>
      <c r="F404" s="82"/>
      <c r="G404" s="82"/>
      <c r="H404" s="82"/>
      <c r="I404" s="83"/>
    </row>
    <row r="405" spans="1:9" x14ac:dyDescent="0.3">
      <c r="A405" s="81"/>
      <c r="B405" s="82"/>
      <c r="C405" s="84"/>
      <c r="D405" s="82"/>
      <c r="E405" s="82"/>
      <c r="F405" s="82"/>
      <c r="G405" s="82"/>
      <c r="H405" s="82"/>
      <c r="I405" s="83"/>
    </row>
    <row r="406" spans="1:9" x14ac:dyDescent="0.3">
      <c r="A406" s="81"/>
      <c r="B406" s="82"/>
      <c r="C406" s="84"/>
      <c r="D406" s="82"/>
      <c r="E406" s="82"/>
      <c r="F406" s="82"/>
      <c r="G406" s="82"/>
      <c r="H406" s="82"/>
      <c r="I406" s="83"/>
    </row>
    <row r="407" spans="1:9" x14ac:dyDescent="0.3">
      <c r="A407" s="81"/>
      <c r="B407" s="82"/>
      <c r="C407" s="84"/>
      <c r="D407" s="82"/>
      <c r="E407" s="82"/>
      <c r="F407" s="82"/>
      <c r="G407" s="82"/>
      <c r="H407" s="82"/>
      <c r="I407" s="83"/>
    </row>
    <row r="408" spans="1:9" x14ac:dyDescent="0.3">
      <c r="A408" s="81"/>
      <c r="B408" s="82"/>
      <c r="C408" s="84"/>
      <c r="D408" s="82"/>
      <c r="E408" s="82"/>
      <c r="F408" s="82"/>
      <c r="G408" s="82"/>
      <c r="H408" s="82"/>
      <c r="I408" s="83"/>
    </row>
    <row r="409" spans="1:9" x14ac:dyDescent="0.3">
      <c r="A409" s="81"/>
      <c r="B409" s="82"/>
      <c r="C409" s="84"/>
      <c r="D409" s="82"/>
      <c r="E409" s="82"/>
      <c r="F409" s="82"/>
      <c r="G409" s="82"/>
      <c r="H409" s="82"/>
      <c r="I409" s="83"/>
    </row>
    <row r="410" spans="1:9" x14ac:dyDescent="0.3">
      <c r="A410" s="81"/>
      <c r="B410" s="82"/>
      <c r="C410" s="84"/>
      <c r="D410" s="82"/>
      <c r="E410" s="82"/>
      <c r="F410" s="82"/>
      <c r="G410" s="82"/>
      <c r="H410" s="82"/>
      <c r="I410" s="83"/>
    </row>
    <row r="411" spans="1:9" x14ac:dyDescent="0.3">
      <c r="A411" s="81"/>
      <c r="B411" s="82"/>
      <c r="C411" s="84"/>
      <c r="D411" s="82"/>
      <c r="E411" s="82"/>
      <c r="F411" s="82"/>
      <c r="G411" s="82"/>
      <c r="H411" s="82"/>
      <c r="I411" s="83"/>
    </row>
    <row r="412" spans="1:9" x14ac:dyDescent="0.3">
      <c r="A412" s="81"/>
      <c r="B412" s="82"/>
      <c r="C412" s="84"/>
      <c r="D412" s="82"/>
      <c r="E412" s="82"/>
      <c r="F412" s="82"/>
      <c r="G412" s="82"/>
      <c r="H412" s="82"/>
      <c r="I412" s="83"/>
    </row>
    <row r="413" spans="1:9" x14ac:dyDescent="0.3">
      <c r="A413" s="81"/>
      <c r="B413" s="82"/>
      <c r="C413" s="84"/>
      <c r="D413" s="82"/>
      <c r="E413" s="82"/>
      <c r="F413" s="82"/>
      <c r="G413" s="82"/>
      <c r="H413" s="82"/>
      <c r="I413" s="83"/>
    </row>
    <row r="414" spans="1:9" x14ac:dyDescent="0.3">
      <c r="A414" s="81"/>
      <c r="B414" s="82"/>
      <c r="C414" s="84"/>
      <c r="D414" s="82"/>
      <c r="E414" s="82"/>
      <c r="F414" s="82"/>
      <c r="G414" s="82"/>
      <c r="H414" s="82"/>
      <c r="I414" s="83"/>
    </row>
    <row r="415" spans="1:9" x14ac:dyDescent="0.3">
      <c r="A415" s="81"/>
      <c r="B415" s="82"/>
      <c r="C415" s="84"/>
      <c r="D415" s="82"/>
      <c r="E415" s="82"/>
      <c r="F415" s="82"/>
      <c r="G415" s="82"/>
      <c r="H415" s="82"/>
      <c r="I415" s="83"/>
    </row>
    <row r="416" spans="1:9" x14ac:dyDescent="0.3">
      <c r="A416" s="81"/>
      <c r="B416" s="82"/>
      <c r="C416" s="84"/>
      <c r="D416" s="82"/>
      <c r="E416" s="82"/>
      <c r="F416" s="82"/>
      <c r="G416" s="82"/>
      <c r="H416" s="82"/>
      <c r="I416" s="83"/>
    </row>
    <row r="417" spans="1:9" x14ac:dyDescent="0.3">
      <c r="A417" s="81"/>
      <c r="B417" s="82"/>
      <c r="C417" s="84"/>
      <c r="D417" s="82"/>
      <c r="E417" s="82"/>
      <c r="F417" s="82"/>
      <c r="G417" s="82"/>
      <c r="H417" s="82"/>
      <c r="I417" s="83"/>
    </row>
    <row r="418" spans="1:9" x14ac:dyDescent="0.3">
      <c r="A418" s="81"/>
      <c r="B418" s="82"/>
      <c r="C418" s="84"/>
      <c r="D418" s="82"/>
      <c r="E418" s="82"/>
      <c r="F418" s="82"/>
      <c r="G418" s="82"/>
      <c r="H418" s="82"/>
      <c r="I418" s="83"/>
    </row>
    <row r="419" spans="1:9" x14ac:dyDescent="0.3">
      <c r="A419" s="81"/>
      <c r="B419" s="82"/>
      <c r="C419" s="84"/>
      <c r="D419" s="82"/>
      <c r="E419" s="82"/>
      <c r="F419" s="82"/>
      <c r="G419" s="82"/>
      <c r="H419" s="82"/>
      <c r="I419" s="83"/>
    </row>
    <row r="420" spans="1:9" x14ac:dyDescent="0.3">
      <c r="A420" s="81"/>
      <c r="B420" s="82"/>
      <c r="C420" s="84"/>
      <c r="D420" s="82"/>
      <c r="E420" s="82"/>
      <c r="F420" s="82"/>
      <c r="G420" s="82"/>
      <c r="H420" s="82"/>
      <c r="I420" s="83"/>
    </row>
    <row r="421" spans="1:9" x14ac:dyDescent="0.3">
      <c r="A421" s="81"/>
      <c r="B421" s="82"/>
      <c r="C421" s="84"/>
      <c r="D421" s="82"/>
      <c r="E421" s="82"/>
      <c r="F421" s="82"/>
      <c r="G421" s="82"/>
      <c r="H421" s="82"/>
      <c r="I421" s="83"/>
    </row>
    <row r="422" spans="1:9" x14ac:dyDescent="0.3">
      <c r="A422" s="81"/>
      <c r="B422" s="82"/>
      <c r="C422" s="84"/>
      <c r="D422" s="82"/>
      <c r="E422" s="82"/>
      <c r="F422" s="82"/>
      <c r="G422" s="82"/>
      <c r="H422" s="82"/>
      <c r="I422" s="83"/>
    </row>
    <row r="423" spans="1:9" x14ac:dyDescent="0.3">
      <c r="A423" s="81"/>
      <c r="B423" s="82"/>
      <c r="C423" s="84"/>
      <c r="D423" s="82"/>
      <c r="E423" s="82"/>
      <c r="F423" s="82"/>
      <c r="G423" s="82"/>
      <c r="H423" s="82"/>
      <c r="I423" s="83"/>
    </row>
    <row r="424" spans="1:9" x14ac:dyDescent="0.3">
      <c r="A424" s="81"/>
      <c r="B424" s="82"/>
      <c r="C424" s="84"/>
      <c r="D424" s="82"/>
      <c r="E424" s="82"/>
      <c r="F424" s="82"/>
      <c r="G424" s="82"/>
      <c r="H424" s="82"/>
      <c r="I424" s="83"/>
    </row>
    <row r="425" spans="1:9" x14ac:dyDescent="0.3">
      <c r="A425" s="81"/>
      <c r="B425" s="82"/>
      <c r="C425" s="84"/>
      <c r="D425" s="82"/>
      <c r="E425" s="82"/>
      <c r="F425" s="82"/>
      <c r="G425" s="82"/>
      <c r="H425" s="82"/>
      <c r="I425" s="83"/>
    </row>
    <row r="426" spans="1:9" x14ac:dyDescent="0.3">
      <c r="A426" s="81"/>
      <c r="B426" s="82"/>
      <c r="C426" s="84"/>
      <c r="D426" s="82"/>
      <c r="E426" s="82"/>
      <c r="F426" s="82"/>
      <c r="G426" s="82"/>
      <c r="H426" s="82"/>
      <c r="I426" s="83"/>
    </row>
    <row r="427" spans="1:9" x14ac:dyDescent="0.3">
      <c r="A427" s="81"/>
      <c r="B427" s="82"/>
      <c r="C427" s="84"/>
      <c r="D427" s="82"/>
      <c r="E427" s="82"/>
      <c r="F427" s="82"/>
      <c r="G427" s="82"/>
      <c r="H427" s="82"/>
      <c r="I427" s="83"/>
    </row>
    <row r="428" spans="1:9" x14ac:dyDescent="0.3">
      <c r="A428" s="81"/>
      <c r="B428" s="82"/>
      <c r="C428" s="84"/>
      <c r="D428" s="82"/>
      <c r="E428" s="82"/>
      <c r="F428" s="82"/>
      <c r="G428" s="82"/>
      <c r="H428" s="82"/>
      <c r="I428" s="83"/>
    </row>
    <row r="429" spans="1:9" x14ac:dyDescent="0.3">
      <c r="A429" s="81"/>
      <c r="B429" s="82"/>
      <c r="C429" s="84"/>
      <c r="D429" s="82"/>
      <c r="E429" s="82"/>
      <c r="F429" s="82"/>
      <c r="G429" s="82"/>
      <c r="H429" s="82"/>
      <c r="I429" s="83"/>
    </row>
    <row r="430" spans="1:9" x14ac:dyDescent="0.3">
      <c r="A430" s="81"/>
      <c r="B430" s="82"/>
      <c r="C430" s="84"/>
      <c r="D430" s="82"/>
      <c r="E430" s="82"/>
      <c r="F430" s="82"/>
      <c r="G430" s="82"/>
      <c r="H430" s="82"/>
      <c r="I430" s="83"/>
    </row>
    <row r="431" spans="1:9" x14ac:dyDescent="0.3">
      <c r="A431" s="81"/>
      <c r="B431" s="82"/>
      <c r="C431" s="84"/>
      <c r="D431" s="82"/>
      <c r="E431" s="82"/>
      <c r="F431" s="82"/>
      <c r="G431" s="82"/>
      <c r="H431" s="82"/>
      <c r="I431" s="83"/>
    </row>
    <row r="432" spans="1:9" x14ac:dyDescent="0.3">
      <c r="A432" s="81"/>
      <c r="B432" s="82"/>
      <c r="C432" s="84"/>
      <c r="D432" s="82"/>
      <c r="E432" s="82"/>
      <c r="F432" s="82"/>
      <c r="G432" s="82"/>
      <c r="H432" s="82"/>
      <c r="I432" s="83"/>
    </row>
    <row r="433" spans="1:9" x14ac:dyDescent="0.3">
      <c r="A433" s="81"/>
      <c r="B433" s="82"/>
      <c r="C433" s="84"/>
      <c r="D433" s="82"/>
      <c r="E433" s="82"/>
      <c r="F433" s="82"/>
      <c r="G433" s="82"/>
      <c r="H433" s="82"/>
      <c r="I433" s="83"/>
    </row>
    <row r="434" spans="1:9" x14ac:dyDescent="0.3">
      <c r="A434" s="81"/>
      <c r="B434" s="82"/>
      <c r="C434" s="84"/>
      <c r="D434" s="82"/>
      <c r="E434" s="82"/>
      <c r="F434" s="82"/>
      <c r="G434" s="82"/>
      <c r="H434" s="82"/>
      <c r="I434" s="83"/>
    </row>
    <row r="435" spans="1:9" x14ac:dyDescent="0.3">
      <c r="A435" s="81"/>
      <c r="B435" s="82"/>
      <c r="C435" s="84"/>
      <c r="D435" s="82"/>
      <c r="E435" s="82"/>
      <c r="F435" s="82"/>
      <c r="G435" s="82"/>
      <c r="H435" s="82"/>
      <c r="I435" s="83"/>
    </row>
    <row r="436" spans="1:9" x14ac:dyDescent="0.3">
      <c r="A436" s="81"/>
      <c r="B436" s="82"/>
      <c r="C436" s="84"/>
      <c r="D436" s="82"/>
      <c r="E436" s="82"/>
      <c r="F436" s="82"/>
      <c r="G436" s="82"/>
      <c r="H436" s="82"/>
      <c r="I436" s="83"/>
    </row>
    <row r="437" spans="1:9" x14ac:dyDescent="0.3">
      <c r="A437" s="81"/>
      <c r="B437" s="82"/>
      <c r="C437" s="84"/>
      <c r="D437" s="82"/>
      <c r="E437" s="82"/>
      <c r="F437" s="82"/>
      <c r="G437" s="82"/>
      <c r="H437" s="82"/>
      <c r="I437" s="83"/>
    </row>
    <row r="438" spans="1:9" x14ac:dyDescent="0.3">
      <c r="A438" s="81"/>
      <c r="B438" s="82"/>
      <c r="C438" s="84"/>
      <c r="D438" s="82"/>
      <c r="E438" s="82"/>
      <c r="F438" s="82"/>
      <c r="G438" s="82"/>
      <c r="H438" s="82"/>
      <c r="I438" s="83"/>
    </row>
    <row r="439" spans="1:9" x14ac:dyDescent="0.3">
      <c r="A439" s="81"/>
      <c r="B439" s="82"/>
      <c r="C439" s="84"/>
      <c r="D439" s="82"/>
      <c r="E439" s="82"/>
      <c r="F439" s="82"/>
      <c r="G439" s="82"/>
      <c r="H439" s="82"/>
      <c r="I439" s="83"/>
    </row>
    <row r="440" spans="1:9" x14ac:dyDescent="0.3">
      <c r="A440" s="81"/>
      <c r="B440" s="82"/>
      <c r="C440" s="84"/>
      <c r="D440" s="82"/>
      <c r="E440" s="82"/>
      <c r="F440" s="82"/>
      <c r="G440" s="82"/>
      <c r="H440" s="82"/>
      <c r="I440" s="83"/>
    </row>
    <row r="441" spans="1:9" x14ac:dyDescent="0.3">
      <c r="A441" s="81"/>
      <c r="B441" s="82"/>
      <c r="C441" s="84"/>
      <c r="D441" s="82"/>
      <c r="E441" s="82"/>
      <c r="F441" s="82"/>
      <c r="G441" s="82"/>
      <c r="H441" s="82"/>
      <c r="I441" s="83"/>
    </row>
    <row r="442" spans="1:9" x14ac:dyDescent="0.3">
      <c r="A442" s="81"/>
      <c r="B442" s="82"/>
      <c r="C442" s="84"/>
      <c r="D442" s="82"/>
      <c r="E442" s="82"/>
      <c r="F442" s="82"/>
      <c r="G442" s="82"/>
      <c r="H442" s="82"/>
      <c r="I442" s="83"/>
    </row>
    <row r="443" spans="1:9" x14ac:dyDescent="0.3">
      <c r="A443" s="81"/>
      <c r="B443" s="82"/>
      <c r="C443" s="84"/>
      <c r="D443" s="82"/>
      <c r="E443" s="82"/>
      <c r="F443" s="82"/>
      <c r="G443" s="82"/>
      <c r="H443" s="82"/>
      <c r="I443" s="83"/>
    </row>
    <row r="444" spans="1:9" x14ac:dyDescent="0.3">
      <c r="A444" s="81"/>
      <c r="B444" s="82"/>
      <c r="C444" s="84"/>
      <c r="D444" s="82"/>
      <c r="E444" s="82"/>
      <c r="F444" s="82"/>
      <c r="G444" s="82"/>
      <c r="H444" s="82"/>
      <c r="I444" s="83"/>
    </row>
    <row r="445" spans="1:9" x14ac:dyDescent="0.3">
      <c r="A445" s="81"/>
      <c r="B445" s="82"/>
      <c r="C445" s="84"/>
      <c r="D445" s="82"/>
      <c r="E445" s="82"/>
      <c r="F445" s="82"/>
      <c r="G445" s="82"/>
      <c r="H445" s="82"/>
      <c r="I445" s="83"/>
    </row>
    <row r="446" spans="1:9" x14ac:dyDescent="0.3">
      <c r="A446" s="81"/>
      <c r="B446" s="82"/>
      <c r="C446" s="84"/>
      <c r="D446" s="82"/>
      <c r="E446" s="82"/>
      <c r="F446" s="82"/>
      <c r="G446" s="82"/>
      <c r="H446" s="82"/>
      <c r="I446" s="83"/>
    </row>
    <row r="447" spans="1:9" x14ac:dyDescent="0.3">
      <c r="A447" s="81"/>
      <c r="B447" s="82"/>
      <c r="C447" s="84"/>
      <c r="D447" s="82"/>
      <c r="E447" s="82"/>
      <c r="F447" s="82"/>
      <c r="G447" s="82"/>
      <c r="H447" s="82"/>
      <c r="I447" s="83"/>
    </row>
    <row r="448" spans="1:9" x14ac:dyDescent="0.3">
      <c r="A448" s="81"/>
      <c r="B448" s="82"/>
      <c r="C448" s="84"/>
      <c r="D448" s="82"/>
      <c r="E448" s="82"/>
      <c r="F448" s="82"/>
      <c r="G448" s="82"/>
      <c r="H448" s="82"/>
      <c r="I448" s="83"/>
    </row>
    <row r="449" spans="1:9" x14ac:dyDescent="0.3">
      <c r="A449" s="81"/>
      <c r="B449" s="82"/>
      <c r="C449" s="84"/>
      <c r="D449" s="82"/>
      <c r="E449" s="82"/>
      <c r="F449" s="82"/>
      <c r="G449" s="82"/>
      <c r="H449" s="82"/>
      <c r="I449" s="83"/>
    </row>
    <row r="450" spans="1:9" x14ac:dyDescent="0.3">
      <c r="A450" s="81"/>
      <c r="B450" s="82"/>
      <c r="C450" s="84"/>
      <c r="D450" s="82"/>
      <c r="E450" s="82"/>
      <c r="F450" s="82"/>
      <c r="G450" s="82"/>
      <c r="H450" s="82"/>
      <c r="I450" s="83"/>
    </row>
    <row r="451" spans="1:9" x14ac:dyDescent="0.3">
      <c r="A451" s="81"/>
      <c r="B451" s="82"/>
      <c r="C451" s="84"/>
      <c r="D451" s="82"/>
      <c r="E451" s="82"/>
      <c r="F451" s="82"/>
      <c r="G451" s="82"/>
      <c r="H451" s="82"/>
      <c r="I451" s="83"/>
    </row>
    <row r="452" spans="1:9" x14ac:dyDescent="0.3">
      <c r="A452" s="81"/>
      <c r="B452" s="82"/>
      <c r="C452" s="84"/>
      <c r="D452" s="82"/>
      <c r="E452" s="82"/>
      <c r="F452" s="82"/>
      <c r="G452" s="82"/>
      <c r="H452" s="82"/>
      <c r="I452" s="83"/>
    </row>
    <row r="453" spans="1:9" x14ac:dyDescent="0.3">
      <c r="A453" s="81"/>
      <c r="B453" s="82"/>
      <c r="C453" s="84"/>
      <c r="D453" s="82"/>
      <c r="E453" s="82"/>
      <c r="F453" s="82"/>
      <c r="G453" s="82"/>
      <c r="H453" s="82"/>
      <c r="I453" s="83"/>
    </row>
    <row r="454" spans="1:9" x14ac:dyDescent="0.3">
      <c r="A454" s="81"/>
      <c r="B454" s="82"/>
      <c r="C454" s="84"/>
      <c r="D454" s="82"/>
      <c r="E454" s="82"/>
      <c r="F454" s="82"/>
      <c r="G454" s="82"/>
      <c r="H454" s="82"/>
      <c r="I454" s="83"/>
    </row>
    <row r="455" spans="1:9" x14ac:dyDescent="0.3">
      <c r="A455" s="81"/>
      <c r="B455" s="82"/>
      <c r="C455" s="84"/>
      <c r="D455" s="82"/>
      <c r="E455" s="82"/>
      <c r="F455" s="82"/>
      <c r="G455" s="82"/>
      <c r="H455" s="82"/>
      <c r="I455" s="83"/>
    </row>
    <row r="456" spans="1:9" x14ac:dyDescent="0.3">
      <c r="A456" s="81"/>
      <c r="B456" s="82"/>
      <c r="C456" s="84"/>
      <c r="D456" s="82"/>
      <c r="E456" s="82"/>
      <c r="F456" s="82"/>
      <c r="G456" s="82"/>
      <c r="H456" s="82"/>
      <c r="I456" s="83"/>
    </row>
    <row r="457" spans="1:9" x14ac:dyDescent="0.3">
      <c r="A457" s="81"/>
      <c r="B457" s="82"/>
      <c r="C457" s="84"/>
      <c r="D457" s="82"/>
      <c r="E457" s="82"/>
      <c r="F457" s="82"/>
      <c r="G457" s="82"/>
      <c r="H457" s="82"/>
      <c r="I457" s="83"/>
    </row>
    <row r="458" spans="1:9" x14ac:dyDescent="0.3">
      <c r="A458" s="81"/>
      <c r="B458" s="82"/>
      <c r="C458" s="84"/>
      <c r="D458" s="82"/>
      <c r="E458" s="82"/>
      <c r="F458" s="82"/>
      <c r="G458" s="82"/>
      <c r="H458" s="82"/>
      <c r="I458" s="83"/>
    </row>
    <row r="459" spans="1:9" x14ac:dyDescent="0.3">
      <c r="A459" s="81"/>
      <c r="B459" s="82"/>
      <c r="C459" s="84"/>
      <c r="D459" s="82"/>
      <c r="E459" s="82"/>
      <c r="F459" s="82"/>
      <c r="G459" s="82"/>
      <c r="H459" s="82"/>
      <c r="I459" s="83"/>
    </row>
    <row r="460" spans="1:9" x14ac:dyDescent="0.3">
      <c r="A460" s="81"/>
      <c r="B460" s="82"/>
      <c r="C460" s="84"/>
      <c r="D460" s="82"/>
      <c r="E460" s="82"/>
      <c r="F460" s="82"/>
      <c r="G460" s="82"/>
      <c r="H460" s="82"/>
      <c r="I460" s="83"/>
    </row>
    <row r="461" spans="1:9" x14ac:dyDescent="0.3">
      <c r="A461" s="81"/>
      <c r="B461" s="82"/>
      <c r="C461" s="84"/>
      <c r="D461" s="82"/>
      <c r="E461" s="82"/>
      <c r="F461" s="82"/>
      <c r="G461" s="82"/>
      <c r="H461" s="82"/>
      <c r="I461" s="83"/>
    </row>
    <row r="462" spans="1:9" x14ac:dyDescent="0.3">
      <c r="A462" s="81"/>
      <c r="B462" s="82"/>
      <c r="C462" s="84"/>
      <c r="D462" s="82"/>
      <c r="E462" s="82"/>
      <c r="F462" s="82"/>
      <c r="G462" s="82"/>
      <c r="H462" s="82"/>
      <c r="I462" s="83"/>
    </row>
    <row r="463" spans="1:9" x14ac:dyDescent="0.3">
      <c r="A463" s="81"/>
      <c r="B463" s="82"/>
      <c r="C463" s="84"/>
      <c r="D463" s="82"/>
      <c r="E463" s="82"/>
      <c r="F463" s="82"/>
      <c r="G463" s="82"/>
      <c r="H463" s="82"/>
      <c r="I463" s="83"/>
    </row>
    <row r="464" spans="1:9" x14ac:dyDescent="0.3">
      <c r="A464" s="81"/>
      <c r="B464" s="82"/>
      <c r="C464" s="84"/>
      <c r="D464" s="82"/>
      <c r="E464" s="82"/>
      <c r="F464" s="82"/>
      <c r="G464" s="82"/>
      <c r="H464" s="82"/>
      <c r="I464" s="83"/>
    </row>
    <row r="465" spans="1:9" x14ac:dyDescent="0.3">
      <c r="A465" s="81"/>
      <c r="B465" s="82"/>
      <c r="C465" s="84"/>
      <c r="D465" s="82"/>
      <c r="E465" s="82"/>
      <c r="F465" s="82"/>
      <c r="G465" s="82"/>
      <c r="H465" s="82"/>
      <c r="I465" s="83"/>
    </row>
    <row r="466" spans="1:9" x14ac:dyDescent="0.3">
      <c r="A466" s="81"/>
      <c r="B466" s="82"/>
      <c r="C466" s="84"/>
      <c r="D466" s="82"/>
      <c r="E466" s="82"/>
      <c r="F466" s="82"/>
      <c r="G466" s="82"/>
      <c r="H466" s="82"/>
      <c r="I466" s="83"/>
    </row>
    <row r="467" spans="1:9" x14ac:dyDescent="0.3">
      <c r="A467" s="81"/>
      <c r="B467" s="82"/>
      <c r="C467" s="84"/>
      <c r="D467" s="82"/>
      <c r="E467" s="82"/>
      <c r="F467" s="82"/>
      <c r="G467" s="82"/>
      <c r="H467" s="82"/>
      <c r="I467" s="83"/>
    </row>
    <row r="468" spans="1:9" x14ac:dyDescent="0.3">
      <c r="A468" s="81"/>
      <c r="B468" s="82"/>
      <c r="C468" s="84"/>
      <c r="D468" s="82"/>
      <c r="E468" s="82"/>
      <c r="F468" s="82"/>
      <c r="G468" s="82"/>
      <c r="H468" s="82"/>
      <c r="I468" s="83"/>
    </row>
    <row r="469" spans="1:9" x14ac:dyDescent="0.3">
      <c r="A469" s="81"/>
      <c r="B469" s="82"/>
      <c r="C469" s="84"/>
      <c r="D469" s="82"/>
      <c r="E469" s="82"/>
      <c r="F469" s="82"/>
      <c r="G469" s="82"/>
      <c r="H469" s="82"/>
      <c r="I469" s="83"/>
    </row>
    <row r="470" spans="1:9" x14ac:dyDescent="0.3">
      <c r="A470" s="81"/>
      <c r="B470" s="82"/>
      <c r="C470" s="84"/>
      <c r="D470" s="82"/>
      <c r="E470" s="82"/>
      <c r="F470" s="82"/>
      <c r="G470" s="82"/>
      <c r="H470" s="82"/>
      <c r="I470" s="83"/>
    </row>
    <row r="471" spans="1:9" x14ac:dyDescent="0.3">
      <c r="A471" s="81"/>
      <c r="B471" s="82"/>
      <c r="C471" s="84"/>
      <c r="D471" s="82"/>
      <c r="E471" s="82"/>
      <c r="F471" s="82"/>
      <c r="G471" s="82"/>
      <c r="H471" s="82"/>
      <c r="I471" s="83"/>
    </row>
    <row r="472" spans="1:9" x14ac:dyDescent="0.3">
      <c r="A472" s="81"/>
      <c r="B472" s="82"/>
      <c r="C472" s="84"/>
      <c r="D472" s="82"/>
      <c r="E472" s="82"/>
      <c r="F472" s="82"/>
      <c r="G472" s="82"/>
      <c r="H472" s="82"/>
      <c r="I472" s="83"/>
    </row>
    <row r="473" spans="1:9" x14ac:dyDescent="0.3">
      <c r="A473" s="81"/>
      <c r="B473" s="82"/>
      <c r="C473" s="84"/>
      <c r="D473" s="82"/>
      <c r="E473" s="82"/>
      <c r="F473" s="82"/>
      <c r="G473" s="82"/>
      <c r="H473" s="82"/>
      <c r="I473" s="83"/>
    </row>
    <row r="474" spans="1:9" x14ac:dyDescent="0.3">
      <c r="A474" s="81"/>
      <c r="B474" s="82"/>
      <c r="C474" s="84"/>
      <c r="D474" s="82"/>
      <c r="E474" s="82"/>
      <c r="F474" s="82"/>
      <c r="G474" s="82"/>
      <c r="H474" s="82"/>
      <c r="I474" s="83"/>
    </row>
    <row r="475" spans="1:9" x14ac:dyDescent="0.3">
      <c r="A475" s="81"/>
      <c r="B475" s="82"/>
      <c r="C475" s="84"/>
      <c r="D475" s="82"/>
      <c r="E475" s="82"/>
      <c r="F475" s="82"/>
      <c r="G475" s="82"/>
      <c r="H475" s="82"/>
      <c r="I475" s="83"/>
    </row>
    <row r="476" spans="1:9" x14ac:dyDescent="0.3">
      <c r="A476" s="81"/>
      <c r="B476" s="82"/>
      <c r="C476" s="84"/>
      <c r="D476" s="82"/>
      <c r="E476" s="82"/>
      <c r="F476" s="82"/>
      <c r="G476" s="82"/>
      <c r="H476" s="82"/>
      <c r="I476" s="83"/>
    </row>
    <row r="477" spans="1:9" x14ac:dyDescent="0.3">
      <c r="A477" s="81"/>
      <c r="B477" s="82"/>
      <c r="C477" s="84"/>
      <c r="D477" s="82"/>
      <c r="E477" s="82"/>
      <c r="F477" s="82"/>
      <c r="G477" s="82"/>
      <c r="H477" s="82"/>
      <c r="I477" s="83"/>
    </row>
    <row r="478" spans="1:9" x14ac:dyDescent="0.3">
      <c r="A478" s="81"/>
      <c r="B478" s="82"/>
      <c r="C478" s="84"/>
      <c r="D478" s="82"/>
      <c r="E478" s="82"/>
      <c r="F478" s="82"/>
      <c r="G478" s="82"/>
      <c r="H478" s="82"/>
      <c r="I478" s="83"/>
    </row>
    <row r="479" spans="1:9" x14ac:dyDescent="0.3">
      <c r="A479" s="81"/>
      <c r="B479" s="82"/>
      <c r="C479" s="84"/>
      <c r="D479" s="82"/>
      <c r="E479" s="82"/>
      <c r="F479" s="82"/>
      <c r="G479" s="82"/>
      <c r="H479" s="82"/>
      <c r="I479" s="83"/>
    </row>
    <row r="480" spans="1:9" x14ac:dyDescent="0.3">
      <c r="A480" s="81"/>
      <c r="B480" s="82"/>
      <c r="C480" s="84"/>
      <c r="D480" s="82"/>
      <c r="E480" s="82"/>
      <c r="F480" s="82"/>
      <c r="G480" s="82"/>
      <c r="H480" s="82"/>
      <c r="I480" s="83"/>
    </row>
    <row r="481" spans="1:9" x14ac:dyDescent="0.3">
      <c r="A481" s="81"/>
      <c r="B481" s="82"/>
      <c r="C481" s="84"/>
      <c r="D481" s="82"/>
      <c r="E481" s="82"/>
      <c r="F481" s="82"/>
      <c r="G481" s="82"/>
      <c r="H481" s="82"/>
      <c r="I481" s="83"/>
    </row>
    <row r="482" spans="1:9" x14ac:dyDescent="0.3">
      <c r="A482" s="81"/>
      <c r="B482" s="82"/>
      <c r="C482" s="84"/>
      <c r="D482" s="82"/>
      <c r="E482" s="82"/>
      <c r="F482" s="82"/>
      <c r="G482" s="82"/>
      <c r="H482" s="82"/>
      <c r="I482" s="83"/>
    </row>
    <row r="483" spans="1:9" x14ac:dyDescent="0.3">
      <c r="A483" s="81"/>
      <c r="B483" s="82"/>
      <c r="C483" s="84"/>
      <c r="D483" s="82"/>
      <c r="E483" s="82"/>
      <c r="F483" s="82"/>
      <c r="G483" s="82"/>
      <c r="H483" s="82"/>
      <c r="I483" s="83"/>
    </row>
    <row r="484" spans="1:9" x14ac:dyDescent="0.3">
      <c r="A484" s="81"/>
      <c r="B484" s="82"/>
      <c r="C484" s="84"/>
      <c r="D484" s="82"/>
      <c r="E484" s="82"/>
      <c r="F484" s="82"/>
      <c r="G484" s="82"/>
      <c r="H484" s="82"/>
      <c r="I484" s="83"/>
    </row>
    <row r="485" spans="1:9" x14ac:dyDescent="0.3">
      <c r="A485" s="81"/>
      <c r="B485" s="82"/>
      <c r="C485" s="84"/>
      <c r="D485" s="82"/>
      <c r="E485" s="82"/>
      <c r="F485" s="82"/>
      <c r="G485" s="82"/>
      <c r="H485" s="82"/>
      <c r="I485" s="83"/>
    </row>
    <row r="486" spans="1:9" x14ac:dyDescent="0.3">
      <c r="A486" s="81"/>
      <c r="B486" s="82"/>
      <c r="C486" s="84"/>
      <c r="D486" s="82"/>
      <c r="E486" s="82"/>
      <c r="F486" s="82"/>
      <c r="G486" s="82"/>
      <c r="H486" s="82"/>
      <c r="I486" s="83"/>
    </row>
    <row r="487" spans="1:9" x14ac:dyDescent="0.3">
      <c r="A487" s="81"/>
      <c r="B487" s="82"/>
      <c r="C487" s="84"/>
      <c r="D487" s="82"/>
      <c r="E487" s="82"/>
      <c r="F487" s="82"/>
      <c r="G487" s="82"/>
      <c r="H487" s="82"/>
      <c r="I487" s="83"/>
    </row>
    <row r="488" spans="1:9" x14ac:dyDescent="0.3">
      <c r="A488" s="81"/>
      <c r="B488" s="82"/>
      <c r="C488" s="84"/>
      <c r="D488" s="82"/>
      <c r="E488" s="82"/>
      <c r="F488" s="82"/>
      <c r="G488" s="82"/>
      <c r="H488" s="82"/>
      <c r="I488" s="83"/>
    </row>
    <row r="489" spans="1:9" x14ac:dyDescent="0.3">
      <c r="A489" s="81"/>
      <c r="B489" s="82"/>
      <c r="C489" s="84"/>
      <c r="D489" s="82"/>
      <c r="E489" s="82"/>
      <c r="F489" s="82"/>
      <c r="G489" s="82"/>
      <c r="H489" s="82"/>
      <c r="I489" s="83"/>
    </row>
    <row r="490" spans="1:9" x14ac:dyDescent="0.3">
      <c r="A490" s="81"/>
      <c r="B490" s="82"/>
      <c r="C490" s="84"/>
      <c r="D490" s="82"/>
      <c r="E490" s="82"/>
      <c r="F490" s="82"/>
      <c r="G490" s="82"/>
      <c r="H490" s="82"/>
      <c r="I490" s="83"/>
    </row>
    <row r="491" spans="1:9" x14ac:dyDescent="0.3">
      <c r="A491" s="81"/>
      <c r="B491" s="82"/>
      <c r="C491" s="84"/>
      <c r="D491" s="82"/>
      <c r="E491" s="82"/>
      <c r="F491" s="82"/>
      <c r="G491" s="82"/>
      <c r="H491" s="82"/>
      <c r="I491" s="83"/>
    </row>
    <row r="492" spans="1:9" x14ac:dyDescent="0.3">
      <c r="A492" s="81"/>
      <c r="B492" s="82"/>
      <c r="C492" s="84"/>
      <c r="D492" s="82"/>
      <c r="E492" s="82"/>
      <c r="F492" s="82"/>
      <c r="G492" s="82"/>
      <c r="H492" s="82"/>
      <c r="I492" s="83"/>
    </row>
    <row r="493" spans="1:9" x14ac:dyDescent="0.3">
      <c r="A493" s="81"/>
      <c r="B493" s="82"/>
      <c r="C493" s="84"/>
      <c r="D493" s="82"/>
      <c r="E493" s="82"/>
      <c r="F493" s="82"/>
      <c r="G493" s="82"/>
      <c r="H493" s="82"/>
      <c r="I493" s="83"/>
    </row>
    <row r="494" spans="1:9" x14ac:dyDescent="0.3">
      <c r="A494" s="81"/>
      <c r="B494" s="82"/>
      <c r="C494" s="84"/>
      <c r="D494" s="82"/>
      <c r="E494" s="82"/>
      <c r="F494" s="82"/>
      <c r="G494" s="82"/>
      <c r="H494" s="82"/>
      <c r="I494" s="83"/>
    </row>
    <row r="495" spans="1:9" x14ac:dyDescent="0.3">
      <c r="A495" s="81"/>
      <c r="B495" s="82"/>
      <c r="C495" s="84"/>
      <c r="D495" s="82"/>
      <c r="E495" s="82"/>
      <c r="F495" s="82"/>
      <c r="G495" s="82"/>
      <c r="H495" s="82"/>
      <c r="I495" s="83"/>
    </row>
    <row r="496" spans="1:9" x14ac:dyDescent="0.3">
      <c r="A496" s="81"/>
      <c r="B496" s="82"/>
      <c r="C496" s="84"/>
      <c r="D496" s="82"/>
      <c r="E496" s="82"/>
      <c r="F496" s="82"/>
      <c r="G496" s="82"/>
      <c r="H496" s="82"/>
      <c r="I496" s="83"/>
    </row>
    <row r="497" spans="1:9" x14ac:dyDescent="0.3">
      <c r="A497" s="81"/>
      <c r="B497" s="82"/>
      <c r="C497" s="84"/>
      <c r="D497" s="82"/>
      <c r="E497" s="82"/>
      <c r="F497" s="82"/>
      <c r="G497" s="82"/>
      <c r="H497" s="82"/>
      <c r="I497" s="83"/>
    </row>
    <row r="498" spans="1:9" x14ac:dyDescent="0.3">
      <c r="A498" s="81"/>
      <c r="B498" s="82"/>
      <c r="C498" s="84"/>
      <c r="D498" s="82"/>
      <c r="E498" s="82"/>
      <c r="F498" s="82"/>
      <c r="G498" s="82"/>
      <c r="H498" s="82"/>
      <c r="I498" s="83"/>
    </row>
    <row r="499" spans="1:9" x14ac:dyDescent="0.3">
      <c r="A499" s="81"/>
      <c r="B499" s="82"/>
      <c r="C499" s="84"/>
      <c r="D499" s="82"/>
      <c r="E499" s="82"/>
      <c r="F499" s="82"/>
      <c r="G499" s="82"/>
      <c r="H499" s="82"/>
      <c r="I499" s="83"/>
    </row>
    <row r="500" spans="1:9" x14ac:dyDescent="0.3">
      <c r="A500" s="81"/>
      <c r="B500" s="82"/>
      <c r="C500" s="84"/>
      <c r="D500" s="82"/>
      <c r="E500" s="82"/>
      <c r="F500" s="82"/>
      <c r="G500" s="82"/>
      <c r="H500" s="82"/>
      <c r="I500" s="83"/>
    </row>
    <row r="501" spans="1:9" x14ac:dyDescent="0.3">
      <c r="A501" s="81"/>
      <c r="B501" s="82"/>
      <c r="C501" s="84"/>
      <c r="D501" s="82"/>
      <c r="E501" s="82"/>
      <c r="F501" s="82"/>
      <c r="G501" s="82"/>
      <c r="H501" s="82"/>
      <c r="I501" s="83"/>
    </row>
    <row r="502" spans="1:9" x14ac:dyDescent="0.3">
      <c r="A502" s="81"/>
      <c r="B502" s="82"/>
      <c r="C502" s="84"/>
      <c r="D502" s="82"/>
      <c r="E502" s="82"/>
      <c r="F502" s="82"/>
      <c r="G502" s="82"/>
      <c r="H502" s="82"/>
      <c r="I502" s="83"/>
    </row>
    <row r="503" spans="1:9" x14ac:dyDescent="0.3">
      <c r="A503" s="81"/>
      <c r="B503" s="82"/>
      <c r="C503" s="84"/>
      <c r="D503" s="82"/>
      <c r="E503" s="82"/>
      <c r="F503" s="82"/>
      <c r="G503" s="82"/>
      <c r="H503" s="82"/>
      <c r="I503" s="83"/>
    </row>
    <row r="504" spans="1:9" x14ac:dyDescent="0.3">
      <c r="A504" s="81"/>
      <c r="B504" s="82"/>
      <c r="C504" s="84"/>
      <c r="D504" s="82"/>
      <c r="E504" s="82"/>
      <c r="F504" s="82"/>
      <c r="G504" s="82"/>
      <c r="H504" s="82"/>
      <c r="I504" s="83"/>
    </row>
    <row r="505" spans="1:9" x14ac:dyDescent="0.3">
      <c r="A505" s="81"/>
      <c r="B505" s="82"/>
      <c r="C505" s="84"/>
      <c r="D505" s="82"/>
      <c r="E505" s="82"/>
      <c r="F505" s="82"/>
      <c r="G505" s="82"/>
      <c r="H505" s="82"/>
      <c r="I505" s="83"/>
    </row>
    <row r="506" spans="1:9" x14ac:dyDescent="0.3">
      <c r="A506" s="81"/>
      <c r="B506" s="82"/>
      <c r="C506" s="84"/>
      <c r="D506" s="82"/>
      <c r="E506" s="82"/>
      <c r="F506" s="82"/>
      <c r="G506" s="82"/>
      <c r="H506" s="82"/>
      <c r="I506" s="83"/>
    </row>
    <row r="507" spans="1:9" x14ac:dyDescent="0.3">
      <c r="A507" s="81"/>
      <c r="B507" s="82"/>
      <c r="C507" s="84"/>
      <c r="D507" s="82"/>
      <c r="E507" s="82"/>
      <c r="F507" s="82"/>
      <c r="G507" s="82"/>
      <c r="H507" s="82"/>
      <c r="I507" s="83"/>
    </row>
    <row r="508" spans="1:9" x14ac:dyDescent="0.3">
      <c r="A508" s="81"/>
      <c r="B508" s="82"/>
      <c r="C508" s="84"/>
      <c r="D508" s="82"/>
      <c r="E508" s="82"/>
      <c r="F508" s="82"/>
      <c r="G508" s="82"/>
      <c r="H508" s="82"/>
      <c r="I508" s="83"/>
    </row>
    <row r="509" spans="1:9" x14ac:dyDescent="0.3">
      <c r="A509" s="81"/>
      <c r="B509" s="82"/>
      <c r="C509" s="84"/>
      <c r="D509" s="82"/>
      <c r="E509" s="82"/>
      <c r="F509" s="82"/>
      <c r="G509" s="82"/>
      <c r="H509" s="82"/>
      <c r="I509" s="83"/>
    </row>
    <row r="510" spans="1:9" x14ac:dyDescent="0.3">
      <c r="A510" s="81"/>
      <c r="B510" s="82"/>
      <c r="C510" s="84"/>
      <c r="D510" s="82"/>
      <c r="E510" s="82"/>
      <c r="F510" s="82"/>
      <c r="G510" s="82"/>
      <c r="H510" s="82"/>
      <c r="I510" s="83"/>
    </row>
    <row r="511" spans="1:9" x14ac:dyDescent="0.3">
      <c r="A511" s="81"/>
      <c r="B511" s="82"/>
      <c r="C511" s="84"/>
      <c r="D511" s="82"/>
      <c r="E511" s="82"/>
      <c r="F511" s="82"/>
      <c r="G511" s="82"/>
      <c r="H511" s="82"/>
      <c r="I511" s="83"/>
    </row>
    <row r="512" spans="1:9" x14ac:dyDescent="0.3">
      <c r="A512" s="81"/>
      <c r="B512" s="82"/>
      <c r="C512" s="84"/>
      <c r="D512" s="82"/>
      <c r="E512" s="82"/>
      <c r="F512" s="82"/>
      <c r="G512" s="82"/>
      <c r="H512" s="82"/>
      <c r="I512" s="83"/>
    </row>
    <row r="513" spans="1:9" x14ac:dyDescent="0.3">
      <c r="A513" s="81"/>
      <c r="B513" s="82"/>
      <c r="C513" s="84"/>
      <c r="D513" s="82"/>
      <c r="E513" s="82"/>
      <c r="F513" s="82"/>
      <c r="G513" s="82"/>
      <c r="H513" s="82"/>
      <c r="I513" s="83"/>
    </row>
    <row r="514" spans="1:9" x14ac:dyDescent="0.3">
      <c r="A514" s="81"/>
      <c r="B514" s="82"/>
      <c r="C514" s="84"/>
      <c r="D514" s="82"/>
      <c r="E514" s="82"/>
      <c r="F514" s="82"/>
      <c r="G514" s="82"/>
      <c r="H514" s="82"/>
      <c r="I514" s="83"/>
    </row>
    <row r="515" spans="1:9" x14ac:dyDescent="0.3">
      <c r="A515" s="81"/>
      <c r="B515" s="82"/>
      <c r="C515" s="84"/>
      <c r="D515" s="82"/>
      <c r="E515" s="82"/>
      <c r="F515" s="82"/>
      <c r="G515" s="82"/>
      <c r="H515" s="82"/>
      <c r="I515" s="83"/>
    </row>
    <row r="516" spans="1:9" x14ac:dyDescent="0.3">
      <c r="A516" s="81"/>
      <c r="B516" s="82"/>
      <c r="C516" s="84"/>
      <c r="D516" s="82"/>
      <c r="E516" s="82"/>
      <c r="F516" s="82"/>
      <c r="G516" s="82"/>
      <c r="H516" s="82"/>
      <c r="I516" s="83"/>
    </row>
    <row r="517" spans="1:9" x14ac:dyDescent="0.3">
      <c r="A517" s="81"/>
      <c r="B517" s="82"/>
      <c r="C517" s="84"/>
      <c r="D517" s="82"/>
      <c r="E517" s="82"/>
      <c r="F517" s="82"/>
      <c r="G517" s="82"/>
      <c r="H517" s="82"/>
      <c r="I517" s="83"/>
    </row>
    <row r="518" spans="1:9" x14ac:dyDescent="0.3">
      <c r="A518" s="81"/>
      <c r="B518" s="82"/>
      <c r="C518" s="84"/>
      <c r="D518" s="82"/>
      <c r="E518" s="82"/>
      <c r="F518" s="82"/>
      <c r="G518" s="82"/>
      <c r="H518" s="82"/>
      <c r="I518" s="83"/>
    </row>
    <row r="519" spans="1:9" x14ac:dyDescent="0.3">
      <c r="A519" s="81"/>
      <c r="B519" s="82"/>
      <c r="C519" s="84"/>
      <c r="D519" s="82"/>
      <c r="E519" s="82"/>
      <c r="F519" s="82"/>
      <c r="G519" s="82"/>
      <c r="H519" s="82"/>
      <c r="I519" s="83"/>
    </row>
    <row r="520" spans="1:9" x14ac:dyDescent="0.3">
      <c r="A520" s="81"/>
      <c r="B520" s="82"/>
      <c r="C520" s="84"/>
      <c r="D520" s="82"/>
      <c r="E520" s="82"/>
      <c r="F520" s="82"/>
      <c r="G520" s="82"/>
      <c r="H520" s="82"/>
      <c r="I520" s="83"/>
    </row>
    <row r="521" spans="1:9" x14ac:dyDescent="0.3">
      <c r="A521" s="81"/>
      <c r="B521" s="82"/>
      <c r="C521" s="84"/>
      <c r="D521" s="82"/>
      <c r="E521" s="82"/>
      <c r="F521" s="82"/>
      <c r="G521" s="82"/>
      <c r="H521" s="82"/>
      <c r="I521" s="83"/>
    </row>
    <row r="522" spans="1:9" x14ac:dyDescent="0.3">
      <c r="A522" s="81"/>
      <c r="B522" s="82"/>
      <c r="C522" s="84"/>
      <c r="D522" s="82"/>
      <c r="E522" s="82"/>
      <c r="F522" s="82"/>
      <c r="G522" s="82"/>
      <c r="H522" s="82"/>
      <c r="I522" s="83"/>
    </row>
    <row r="523" spans="1:9" x14ac:dyDescent="0.3">
      <c r="A523" s="81"/>
      <c r="B523" s="82"/>
      <c r="C523" s="84"/>
      <c r="D523" s="82"/>
      <c r="E523" s="82"/>
      <c r="F523" s="82"/>
      <c r="G523" s="82"/>
      <c r="H523" s="82"/>
      <c r="I523" s="83"/>
    </row>
    <row r="524" spans="1:9" x14ac:dyDescent="0.3">
      <c r="A524" s="81"/>
      <c r="B524" s="82"/>
      <c r="C524" s="84"/>
      <c r="D524" s="82"/>
      <c r="E524" s="82"/>
      <c r="F524" s="82"/>
      <c r="G524" s="82"/>
      <c r="H524" s="82"/>
      <c r="I524" s="83"/>
    </row>
    <row r="525" spans="1:9" x14ac:dyDescent="0.3">
      <c r="A525" s="81"/>
      <c r="B525" s="82"/>
      <c r="C525" s="84"/>
      <c r="D525" s="82"/>
      <c r="E525" s="82"/>
      <c r="F525" s="82"/>
      <c r="G525" s="82"/>
      <c r="H525" s="82"/>
      <c r="I525" s="83"/>
    </row>
    <row r="526" spans="1:9" x14ac:dyDescent="0.3">
      <c r="A526" s="81"/>
      <c r="B526" s="82"/>
      <c r="C526" s="84"/>
      <c r="D526" s="82"/>
      <c r="E526" s="82"/>
      <c r="F526" s="82"/>
      <c r="G526" s="82"/>
      <c r="H526" s="82"/>
      <c r="I526" s="83"/>
    </row>
    <row r="527" spans="1:9" x14ac:dyDescent="0.3">
      <c r="A527" s="81"/>
      <c r="B527" s="82"/>
      <c r="C527" s="84"/>
      <c r="D527" s="82"/>
      <c r="E527" s="82"/>
      <c r="F527" s="82"/>
      <c r="G527" s="82"/>
      <c r="H527" s="82"/>
      <c r="I527" s="83"/>
    </row>
    <row r="528" spans="1:9" x14ac:dyDescent="0.3">
      <c r="A528" s="81"/>
      <c r="B528" s="82"/>
      <c r="C528" s="84"/>
      <c r="D528" s="82"/>
      <c r="E528" s="82"/>
      <c r="F528" s="82"/>
      <c r="G528" s="82"/>
      <c r="H528" s="82"/>
      <c r="I528" s="83"/>
    </row>
    <row r="529" spans="1:9" x14ac:dyDescent="0.3">
      <c r="A529" s="81"/>
      <c r="B529" s="82"/>
      <c r="C529" s="84"/>
      <c r="D529" s="82"/>
      <c r="E529" s="82"/>
      <c r="F529" s="82"/>
      <c r="G529" s="82"/>
      <c r="H529" s="82"/>
      <c r="I529" s="83"/>
    </row>
    <row r="530" spans="1:9" x14ac:dyDescent="0.3">
      <c r="A530" s="81"/>
      <c r="B530" s="82"/>
      <c r="C530" s="84"/>
      <c r="D530" s="82"/>
      <c r="E530" s="82"/>
      <c r="F530" s="82"/>
      <c r="G530" s="82"/>
      <c r="H530" s="82"/>
      <c r="I530" s="83"/>
    </row>
    <row r="531" spans="1:9" x14ac:dyDescent="0.3">
      <c r="A531" s="81"/>
      <c r="B531" s="82"/>
      <c r="C531" s="84"/>
      <c r="D531" s="82"/>
      <c r="E531" s="82"/>
      <c r="F531" s="82"/>
      <c r="G531" s="82"/>
      <c r="H531" s="82"/>
      <c r="I531" s="83"/>
    </row>
    <row r="532" spans="1:9" x14ac:dyDescent="0.3">
      <c r="A532" s="81"/>
      <c r="B532" s="82"/>
      <c r="C532" s="84"/>
      <c r="D532" s="82"/>
      <c r="E532" s="82"/>
      <c r="F532" s="82"/>
      <c r="G532" s="82"/>
      <c r="H532" s="82"/>
      <c r="I532" s="83"/>
    </row>
    <row r="533" spans="1:9" x14ac:dyDescent="0.3">
      <c r="A533" s="81"/>
      <c r="B533" s="82"/>
      <c r="C533" s="84"/>
      <c r="D533" s="82"/>
      <c r="E533" s="82"/>
      <c r="F533" s="82"/>
      <c r="G533" s="82"/>
      <c r="H533" s="82"/>
      <c r="I533" s="83"/>
    </row>
    <row r="534" spans="1:9" x14ac:dyDescent="0.3">
      <c r="A534" s="81"/>
      <c r="B534" s="82"/>
      <c r="C534" s="84"/>
      <c r="D534" s="82"/>
      <c r="E534" s="82"/>
      <c r="F534" s="82"/>
      <c r="G534" s="82"/>
      <c r="H534" s="82"/>
      <c r="I534" s="83"/>
    </row>
    <row r="535" spans="1:9" x14ac:dyDescent="0.3">
      <c r="A535" s="81"/>
      <c r="B535" s="82"/>
      <c r="C535" s="84"/>
      <c r="D535" s="82"/>
      <c r="E535" s="82"/>
      <c r="F535" s="82"/>
      <c r="G535" s="82"/>
      <c r="H535" s="82"/>
      <c r="I535" s="83"/>
    </row>
    <row r="536" spans="1:9" x14ac:dyDescent="0.3">
      <c r="A536" s="81"/>
      <c r="B536" s="82"/>
      <c r="C536" s="84"/>
      <c r="D536" s="82"/>
      <c r="E536" s="82"/>
      <c r="F536" s="82"/>
      <c r="G536" s="82"/>
      <c r="H536" s="82"/>
      <c r="I536" s="83"/>
    </row>
    <row r="537" spans="1:9" x14ac:dyDescent="0.3">
      <c r="A537" s="81"/>
      <c r="B537" s="82"/>
      <c r="C537" s="84"/>
      <c r="D537" s="82"/>
      <c r="E537" s="82"/>
      <c r="F537" s="82"/>
      <c r="G537" s="82"/>
      <c r="H537" s="82"/>
      <c r="I537" s="83"/>
    </row>
    <row r="538" spans="1:9" x14ac:dyDescent="0.3">
      <c r="A538" s="81"/>
      <c r="B538" s="82"/>
      <c r="C538" s="84"/>
      <c r="D538" s="82"/>
      <c r="E538" s="82"/>
      <c r="F538" s="82"/>
      <c r="G538" s="82"/>
      <c r="H538" s="82"/>
      <c r="I538" s="83"/>
    </row>
    <row r="539" spans="1:9" x14ac:dyDescent="0.3">
      <c r="A539" s="81"/>
      <c r="B539" s="82"/>
      <c r="C539" s="84"/>
      <c r="D539" s="82"/>
      <c r="E539" s="82"/>
      <c r="F539" s="82"/>
      <c r="G539" s="82"/>
      <c r="H539" s="82"/>
      <c r="I539" s="83"/>
    </row>
    <row r="540" spans="1:9" x14ac:dyDescent="0.3">
      <c r="A540" s="81"/>
      <c r="B540" s="82"/>
      <c r="C540" s="84"/>
      <c r="D540" s="82"/>
      <c r="E540" s="82"/>
      <c r="F540" s="82"/>
      <c r="G540" s="82"/>
      <c r="H540" s="82"/>
      <c r="I540" s="83"/>
    </row>
    <row r="541" spans="1:9" x14ac:dyDescent="0.3">
      <c r="A541" s="81"/>
      <c r="B541" s="82"/>
      <c r="C541" s="84"/>
      <c r="D541" s="82"/>
      <c r="E541" s="82"/>
      <c r="F541" s="82"/>
      <c r="G541" s="82"/>
      <c r="H541" s="82"/>
      <c r="I541" s="83"/>
    </row>
    <row r="542" spans="1:9" x14ac:dyDescent="0.3">
      <c r="A542" s="81"/>
      <c r="B542" s="82"/>
      <c r="C542" s="84"/>
      <c r="D542" s="82"/>
      <c r="E542" s="82"/>
      <c r="F542" s="82"/>
      <c r="G542" s="82"/>
      <c r="H542" s="82"/>
      <c r="I542" s="83"/>
    </row>
    <row r="543" spans="1:9" x14ac:dyDescent="0.3">
      <c r="A543" s="81"/>
      <c r="B543" s="82"/>
      <c r="C543" s="84"/>
      <c r="D543" s="82"/>
      <c r="E543" s="82"/>
      <c r="F543" s="82"/>
      <c r="G543" s="82"/>
      <c r="H543" s="82"/>
      <c r="I543" s="83"/>
    </row>
    <row r="544" spans="1:9" x14ac:dyDescent="0.3">
      <c r="A544" s="81"/>
      <c r="B544" s="82"/>
      <c r="C544" s="84"/>
      <c r="D544" s="82"/>
      <c r="E544" s="82"/>
      <c r="F544" s="82"/>
      <c r="G544" s="82"/>
      <c r="H544" s="82"/>
      <c r="I544" s="83"/>
    </row>
    <row r="545" spans="1:9" x14ac:dyDescent="0.3">
      <c r="A545" s="81"/>
      <c r="B545" s="82"/>
      <c r="C545" s="84"/>
      <c r="D545" s="82"/>
      <c r="E545" s="82"/>
      <c r="F545" s="82"/>
      <c r="G545" s="82"/>
      <c r="H545" s="82"/>
      <c r="I545" s="83"/>
    </row>
    <row r="546" spans="1:9" x14ac:dyDescent="0.3">
      <c r="A546" s="81"/>
      <c r="B546" s="82"/>
      <c r="C546" s="84"/>
      <c r="D546" s="82"/>
      <c r="E546" s="82"/>
      <c r="F546" s="82"/>
      <c r="G546" s="82"/>
      <c r="H546" s="82"/>
      <c r="I546" s="83"/>
    </row>
    <row r="547" spans="1:9" x14ac:dyDescent="0.3">
      <c r="A547" s="81"/>
      <c r="B547" s="82"/>
      <c r="C547" s="84"/>
      <c r="D547" s="82"/>
      <c r="E547" s="82"/>
      <c r="F547" s="82"/>
      <c r="G547" s="82"/>
      <c r="H547" s="82"/>
      <c r="I547" s="83"/>
    </row>
    <row r="548" spans="1:9" x14ac:dyDescent="0.3">
      <c r="A548" s="81"/>
      <c r="B548" s="82"/>
      <c r="C548" s="84"/>
      <c r="D548" s="82"/>
      <c r="E548" s="82"/>
      <c r="F548" s="82"/>
      <c r="G548" s="82"/>
      <c r="H548" s="82"/>
      <c r="I548" s="83"/>
    </row>
    <row r="549" spans="1:9" x14ac:dyDescent="0.3">
      <c r="A549" s="81"/>
      <c r="B549" s="82"/>
      <c r="C549" s="84"/>
      <c r="D549" s="82"/>
      <c r="E549" s="82"/>
      <c r="F549" s="82"/>
      <c r="G549" s="82"/>
      <c r="H549" s="82"/>
      <c r="I549" s="83"/>
    </row>
    <row r="550" spans="1:9" x14ac:dyDescent="0.3">
      <c r="A550" s="81"/>
      <c r="B550" s="82"/>
      <c r="C550" s="84"/>
      <c r="D550" s="82"/>
      <c r="E550" s="82"/>
      <c r="F550" s="82"/>
      <c r="G550" s="82"/>
      <c r="H550" s="82"/>
      <c r="I550" s="83"/>
    </row>
    <row r="551" spans="1:9" x14ac:dyDescent="0.3">
      <c r="A551" s="81"/>
      <c r="B551" s="82"/>
      <c r="C551" s="84"/>
      <c r="D551" s="82"/>
      <c r="E551" s="82"/>
      <c r="F551" s="82"/>
      <c r="G551" s="82"/>
      <c r="H551" s="82"/>
      <c r="I551" s="83"/>
    </row>
    <row r="552" spans="1:9" x14ac:dyDescent="0.3">
      <c r="A552" s="81"/>
      <c r="B552" s="82"/>
      <c r="C552" s="84"/>
      <c r="D552" s="82"/>
      <c r="E552" s="82"/>
      <c r="F552" s="82"/>
      <c r="G552" s="82"/>
      <c r="H552" s="82"/>
      <c r="I552" s="83"/>
    </row>
    <row r="553" spans="1:9" x14ac:dyDescent="0.3">
      <c r="A553" s="81"/>
      <c r="B553" s="82"/>
      <c r="C553" s="84"/>
      <c r="D553" s="82"/>
      <c r="E553" s="82"/>
      <c r="F553" s="82"/>
      <c r="G553" s="82"/>
      <c r="H553" s="82"/>
      <c r="I553" s="83"/>
    </row>
    <row r="554" spans="1:9" x14ac:dyDescent="0.3">
      <c r="A554" s="81"/>
      <c r="B554" s="82"/>
      <c r="C554" s="84"/>
      <c r="D554" s="82"/>
      <c r="E554" s="82"/>
      <c r="F554" s="82"/>
      <c r="G554" s="82"/>
      <c r="H554" s="82"/>
      <c r="I554" s="83"/>
    </row>
    <row r="555" spans="1:9" x14ac:dyDescent="0.3">
      <c r="A555" s="81"/>
      <c r="B555" s="82"/>
      <c r="C555" s="84"/>
      <c r="D555" s="82"/>
      <c r="E555" s="82"/>
      <c r="F555" s="82"/>
      <c r="G555" s="82"/>
      <c r="H555" s="82"/>
      <c r="I555" s="83"/>
    </row>
    <row r="556" spans="1:9" x14ac:dyDescent="0.3">
      <c r="A556" s="81"/>
      <c r="B556" s="82"/>
      <c r="C556" s="84"/>
      <c r="D556" s="82"/>
      <c r="E556" s="82"/>
      <c r="F556" s="82"/>
      <c r="G556" s="82"/>
      <c r="H556" s="82"/>
      <c r="I556" s="83"/>
    </row>
    <row r="557" spans="1:9" x14ac:dyDescent="0.3">
      <c r="A557" s="81"/>
      <c r="B557" s="82"/>
      <c r="C557" s="84"/>
      <c r="D557" s="82"/>
      <c r="E557" s="82"/>
      <c r="F557" s="82"/>
      <c r="G557" s="82"/>
      <c r="H557" s="82"/>
      <c r="I557" s="83"/>
    </row>
    <row r="558" spans="1:9" x14ac:dyDescent="0.3">
      <c r="A558" s="81"/>
      <c r="B558" s="82"/>
      <c r="C558" s="84"/>
      <c r="D558" s="82"/>
      <c r="E558" s="82"/>
      <c r="F558" s="82"/>
      <c r="G558" s="82"/>
      <c r="H558" s="82"/>
      <c r="I558" s="83"/>
    </row>
    <row r="559" spans="1:9" x14ac:dyDescent="0.3">
      <c r="A559" s="81"/>
      <c r="B559" s="82"/>
      <c r="C559" s="84"/>
      <c r="D559" s="82"/>
      <c r="E559" s="82"/>
      <c r="F559" s="82"/>
      <c r="G559" s="82"/>
      <c r="H559" s="82"/>
      <c r="I559" s="83"/>
    </row>
    <row r="560" spans="1:9" x14ac:dyDescent="0.3">
      <c r="A560" s="81"/>
      <c r="B560" s="82"/>
      <c r="C560" s="84"/>
      <c r="D560" s="82"/>
      <c r="E560" s="82"/>
      <c r="F560" s="82"/>
      <c r="G560" s="82"/>
      <c r="H560" s="82"/>
      <c r="I560" s="83"/>
    </row>
    <row r="561" spans="1:9" x14ac:dyDescent="0.3">
      <c r="A561" s="81"/>
      <c r="B561" s="82"/>
      <c r="C561" s="84"/>
      <c r="D561" s="82"/>
      <c r="E561" s="82"/>
      <c r="F561" s="82"/>
      <c r="G561" s="82"/>
      <c r="H561" s="82"/>
      <c r="I561" s="83"/>
    </row>
    <row r="562" spans="1:9" x14ac:dyDescent="0.3">
      <c r="A562" s="81"/>
      <c r="B562" s="82"/>
      <c r="C562" s="84"/>
      <c r="D562" s="82"/>
      <c r="E562" s="82"/>
      <c r="F562" s="82"/>
      <c r="G562" s="82"/>
      <c r="H562" s="82"/>
      <c r="I562" s="83"/>
    </row>
    <row r="563" spans="1:9" x14ac:dyDescent="0.3">
      <c r="A563" s="81"/>
      <c r="B563" s="82"/>
      <c r="C563" s="84"/>
      <c r="D563" s="82"/>
      <c r="E563" s="82"/>
      <c r="F563" s="82"/>
      <c r="G563" s="82"/>
      <c r="H563" s="82"/>
      <c r="I563" s="83"/>
    </row>
    <row r="564" spans="1:9" x14ac:dyDescent="0.3">
      <c r="A564" s="81"/>
      <c r="B564" s="82"/>
      <c r="C564" s="84"/>
      <c r="D564" s="82"/>
      <c r="E564" s="82"/>
      <c r="F564" s="82"/>
      <c r="G564" s="82"/>
      <c r="H564" s="82"/>
      <c r="I564" s="83"/>
    </row>
    <row r="565" spans="1:9" x14ac:dyDescent="0.3">
      <c r="A565" s="81"/>
      <c r="B565" s="82"/>
      <c r="C565" s="84"/>
      <c r="D565" s="82"/>
      <c r="E565" s="82"/>
      <c r="F565" s="82"/>
      <c r="G565" s="82"/>
      <c r="H565" s="82"/>
      <c r="I565" s="83"/>
    </row>
    <row r="566" spans="1:9" x14ac:dyDescent="0.3">
      <c r="A566" s="81"/>
      <c r="B566" s="82"/>
      <c r="C566" s="84"/>
      <c r="D566" s="82"/>
      <c r="E566" s="82"/>
      <c r="F566" s="82"/>
      <c r="G566" s="82"/>
      <c r="H566" s="82"/>
      <c r="I566" s="83"/>
    </row>
    <row r="567" spans="1:9" x14ac:dyDescent="0.3">
      <c r="A567" s="81"/>
      <c r="B567" s="82"/>
      <c r="C567" s="84"/>
      <c r="D567" s="82"/>
      <c r="E567" s="82"/>
      <c r="F567" s="82"/>
      <c r="G567" s="82"/>
      <c r="H567" s="82"/>
      <c r="I567" s="83"/>
    </row>
    <row r="568" spans="1:9" x14ac:dyDescent="0.3">
      <c r="A568" s="81"/>
      <c r="B568" s="82"/>
      <c r="C568" s="84"/>
      <c r="D568" s="82"/>
      <c r="E568" s="82"/>
      <c r="F568" s="82"/>
      <c r="G568" s="82"/>
      <c r="H568" s="82"/>
      <c r="I568" s="83"/>
    </row>
    <row r="569" spans="1:9" x14ac:dyDescent="0.3">
      <c r="A569" s="81"/>
      <c r="B569" s="82"/>
      <c r="C569" s="84"/>
      <c r="D569" s="82"/>
      <c r="E569" s="82"/>
      <c r="F569" s="82"/>
      <c r="G569" s="82"/>
      <c r="H569" s="82"/>
      <c r="I569" s="83"/>
    </row>
    <row r="570" spans="1:9" x14ac:dyDescent="0.3">
      <c r="A570" s="81"/>
      <c r="B570" s="82"/>
      <c r="C570" s="84"/>
      <c r="D570" s="82"/>
      <c r="E570" s="82"/>
      <c r="F570" s="82"/>
      <c r="G570" s="82"/>
      <c r="H570" s="82"/>
      <c r="I570" s="83"/>
    </row>
    <row r="571" spans="1:9" x14ac:dyDescent="0.3">
      <c r="A571" s="81"/>
      <c r="B571" s="82"/>
      <c r="C571" s="84"/>
      <c r="D571" s="82"/>
      <c r="E571" s="82"/>
      <c r="F571" s="82"/>
      <c r="G571" s="82"/>
      <c r="H571" s="82"/>
      <c r="I571" s="83"/>
    </row>
    <row r="572" spans="1:9" x14ac:dyDescent="0.3">
      <c r="A572" s="81"/>
      <c r="B572" s="82"/>
      <c r="C572" s="84"/>
      <c r="D572" s="82"/>
      <c r="E572" s="82"/>
      <c r="F572" s="82"/>
      <c r="G572" s="82"/>
      <c r="H572" s="82"/>
      <c r="I572" s="83"/>
    </row>
    <row r="573" spans="1:9" x14ac:dyDescent="0.3">
      <c r="A573" s="81"/>
      <c r="B573" s="82"/>
      <c r="C573" s="84"/>
      <c r="D573" s="82"/>
      <c r="E573" s="82"/>
      <c r="F573" s="82"/>
      <c r="G573" s="82"/>
      <c r="H573" s="82"/>
      <c r="I573" s="83"/>
    </row>
    <row r="574" spans="1:9" x14ac:dyDescent="0.3">
      <c r="A574" s="81"/>
      <c r="B574" s="82"/>
      <c r="C574" s="84"/>
      <c r="D574" s="82"/>
      <c r="E574" s="82"/>
      <c r="F574" s="82"/>
      <c r="G574" s="82"/>
      <c r="H574" s="82"/>
      <c r="I574" s="83"/>
    </row>
    <row r="575" spans="1:9" x14ac:dyDescent="0.3">
      <c r="A575" s="81"/>
      <c r="B575" s="82"/>
      <c r="C575" s="84"/>
      <c r="D575" s="82"/>
      <c r="E575" s="82"/>
      <c r="F575" s="82"/>
      <c r="G575" s="82"/>
      <c r="H575" s="82"/>
      <c r="I575" s="83"/>
    </row>
    <row r="576" spans="1:9" x14ac:dyDescent="0.3">
      <c r="A576" s="81"/>
      <c r="B576" s="82"/>
      <c r="C576" s="84"/>
      <c r="D576" s="82"/>
      <c r="E576" s="82"/>
      <c r="F576" s="82"/>
      <c r="G576" s="82"/>
      <c r="H576" s="82"/>
      <c r="I576" s="83"/>
    </row>
    <row r="577" spans="1:9" x14ac:dyDescent="0.3">
      <c r="A577" s="81"/>
      <c r="B577" s="82"/>
      <c r="C577" s="84"/>
      <c r="D577" s="82"/>
      <c r="E577" s="82"/>
      <c r="F577" s="82"/>
      <c r="G577" s="82"/>
      <c r="H577" s="82"/>
      <c r="I577" s="83"/>
    </row>
    <row r="578" spans="1:9" x14ac:dyDescent="0.3">
      <c r="A578" s="81"/>
      <c r="B578" s="82"/>
      <c r="C578" s="84"/>
      <c r="D578" s="82"/>
      <c r="E578" s="82"/>
      <c r="F578" s="82"/>
      <c r="G578" s="82"/>
      <c r="H578" s="82"/>
      <c r="I578" s="83"/>
    </row>
    <row r="579" spans="1:9" x14ac:dyDescent="0.3">
      <c r="A579" s="81"/>
      <c r="B579" s="82"/>
      <c r="C579" s="84"/>
      <c r="D579" s="82"/>
      <c r="E579" s="82"/>
      <c r="F579" s="82"/>
      <c r="G579" s="82"/>
      <c r="H579" s="82"/>
      <c r="I579" s="83"/>
    </row>
    <row r="580" spans="1:9" x14ac:dyDescent="0.3">
      <c r="A580" s="81"/>
      <c r="B580" s="82"/>
      <c r="C580" s="84"/>
      <c r="D580" s="82"/>
      <c r="E580" s="82"/>
      <c r="F580" s="82"/>
      <c r="G580" s="82"/>
      <c r="H580" s="82"/>
      <c r="I580" s="83"/>
    </row>
    <row r="581" spans="1:9" x14ac:dyDescent="0.3">
      <c r="A581" s="81"/>
      <c r="B581" s="82"/>
      <c r="C581" s="84"/>
      <c r="D581" s="82"/>
      <c r="E581" s="82"/>
      <c r="F581" s="82"/>
      <c r="G581" s="82"/>
      <c r="H581" s="82"/>
      <c r="I581" s="83"/>
    </row>
    <row r="582" spans="1:9" x14ac:dyDescent="0.3">
      <c r="A582" s="81"/>
      <c r="B582" s="82"/>
      <c r="C582" s="84"/>
      <c r="D582" s="82"/>
      <c r="E582" s="82"/>
      <c r="F582" s="82"/>
      <c r="G582" s="82"/>
      <c r="H582" s="82"/>
      <c r="I582" s="83"/>
    </row>
    <row r="583" spans="1:9" x14ac:dyDescent="0.3">
      <c r="A583" s="81"/>
      <c r="B583" s="82"/>
      <c r="C583" s="84"/>
      <c r="D583" s="82"/>
      <c r="E583" s="82"/>
      <c r="F583" s="82"/>
      <c r="G583" s="82"/>
      <c r="H583" s="82"/>
      <c r="I583" s="83"/>
    </row>
    <row r="584" spans="1:9" x14ac:dyDescent="0.3">
      <c r="A584" s="81"/>
      <c r="B584" s="82"/>
      <c r="C584" s="84"/>
      <c r="D584" s="82"/>
      <c r="E584" s="82"/>
      <c r="F584" s="82"/>
      <c r="G584" s="82"/>
      <c r="H584" s="82"/>
      <c r="I584" s="83"/>
    </row>
    <row r="585" spans="1:9" x14ac:dyDescent="0.3">
      <c r="A585" s="81"/>
      <c r="B585" s="82"/>
      <c r="C585" s="84"/>
      <c r="D585" s="82"/>
      <c r="E585" s="82"/>
      <c r="F585" s="82"/>
      <c r="G585" s="82"/>
      <c r="H585" s="82"/>
      <c r="I585" s="83"/>
    </row>
    <row r="586" spans="1:9" x14ac:dyDescent="0.3">
      <c r="A586" s="81"/>
      <c r="B586" s="82"/>
      <c r="C586" s="84"/>
      <c r="D586" s="82"/>
      <c r="E586" s="82"/>
      <c r="F586" s="82"/>
      <c r="G586" s="82"/>
      <c r="H586" s="82"/>
      <c r="I586" s="83"/>
    </row>
    <row r="587" spans="1:9" x14ac:dyDescent="0.3">
      <c r="A587" s="81"/>
      <c r="B587" s="82"/>
      <c r="C587" s="84"/>
      <c r="D587" s="82"/>
      <c r="E587" s="82"/>
      <c r="F587" s="82"/>
      <c r="G587" s="82"/>
      <c r="H587" s="82"/>
      <c r="I587" s="83"/>
    </row>
    <row r="588" spans="1:9" x14ac:dyDescent="0.3">
      <c r="A588" s="81"/>
      <c r="B588" s="82"/>
      <c r="C588" s="84"/>
      <c r="D588" s="82"/>
      <c r="E588" s="82"/>
      <c r="F588" s="82"/>
      <c r="G588" s="82"/>
      <c r="H588" s="82"/>
      <c r="I588" s="83"/>
    </row>
    <row r="589" spans="1:9" x14ac:dyDescent="0.3">
      <c r="A589" s="81"/>
      <c r="B589" s="82"/>
      <c r="C589" s="84"/>
      <c r="D589" s="82"/>
      <c r="E589" s="82"/>
      <c r="F589" s="82"/>
      <c r="G589" s="82"/>
      <c r="H589" s="82"/>
      <c r="I589" s="83"/>
    </row>
    <row r="590" spans="1:9" x14ac:dyDescent="0.3">
      <c r="A590" s="81"/>
      <c r="B590" s="82"/>
      <c r="C590" s="84"/>
      <c r="D590" s="82"/>
      <c r="E590" s="82"/>
      <c r="F590" s="82"/>
      <c r="G590" s="82"/>
      <c r="H590" s="82"/>
      <c r="I590" s="83"/>
    </row>
    <row r="591" spans="1:9" x14ac:dyDescent="0.3">
      <c r="A591" s="81"/>
      <c r="B591" s="82"/>
      <c r="C591" s="84"/>
      <c r="D591" s="82"/>
      <c r="E591" s="82"/>
      <c r="F591" s="82"/>
      <c r="G591" s="82"/>
      <c r="H591" s="82"/>
      <c r="I591" s="83"/>
    </row>
    <row r="592" spans="1:9" x14ac:dyDescent="0.3">
      <c r="A592" s="81"/>
      <c r="B592" s="82"/>
      <c r="C592" s="84"/>
      <c r="D592" s="82"/>
      <c r="E592" s="82"/>
      <c r="F592" s="82"/>
      <c r="G592" s="82"/>
      <c r="H592" s="82"/>
      <c r="I592" s="83"/>
    </row>
    <row r="593" spans="1:9" x14ac:dyDescent="0.3">
      <c r="A593" s="81"/>
      <c r="B593" s="82"/>
      <c r="C593" s="84"/>
      <c r="D593" s="82"/>
      <c r="E593" s="82"/>
      <c r="F593" s="82"/>
      <c r="G593" s="82"/>
      <c r="H593" s="82"/>
      <c r="I593" s="83"/>
    </row>
    <row r="594" spans="1:9" x14ac:dyDescent="0.3">
      <c r="A594" s="81"/>
      <c r="B594" s="82"/>
      <c r="C594" s="84"/>
      <c r="D594" s="82"/>
      <c r="E594" s="82"/>
      <c r="F594" s="82"/>
      <c r="G594" s="82"/>
      <c r="H594" s="82"/>
      <c r="I594" s="83"/>
    </row>
    <row r="595" spans="1:9" x14ac:dyDescent="0.3">
      <c r="A595" s="81"/>
      <c r="B595" s="82"/>
      <c r="C595" s="84"/>
      <c r="D595" s="82"/>
      <c r="E595" s="82"/>
      <c r="F595" s="82"/>
      <c r="G595" s="82"/>
      <c r="H595" s="82"/>
      <c r="I595" s="83"/>
    </row>
    <row r="596" spans="1:9" x14ac:dyDescent="0.3">
      <c r="A596" s="81"/>
      <c r="B596" s="82"/>
      <c r="C596" s="84"/>
      <c r="D596" s="82"/>
      <c r="E596" s="82"/>
      <c r="F596" s="82"/>
      <c r="G596" s="82"/>
      <c r="H596" s="82"/>
      <c r="I596" s="83"/>
    </row>
    <row r="597" spans="1:9" x14ac:dyDescent="0.3">
      <c r="A597" s="81"/>
      <c r="B597" s="82"/>
      <c r="C597" s="84"/>
      <c r="D597" s="82"/>
      <c r="E597" s="82"/>
      <c r="F597" s="82"/>
      <c r="G597" s="82"/>
      <c r="H597" s="82"/>
      <c r="I597" s="83"/>
    </row>
    <row r="598" spans="1:9" x14ac:dyDescent="0.3">
      <c r="A598" s="81"/>
      <c r="B598" s="82"/>
      <c r="C598" s="84"/>
      <c r="D598" s="82"/>
      <c r="E598" s="82"/>
      <c r="F598" s="82"/>
      <c r="G598" s="82"/>
      <c r="H598" s="82"/>
      <c r="I598" s="83"/>
    </row>
    <row r="599" spans="1:9" x14ac:dyDescent="0.3">
      <c r="A599" s="81"/>
      <c r="B599" s="82"/>
      <c r="C599" s="84"/>
      <c r="D599" s="82"/>
      <c r="E599" s="82"/>
      <c r="F599" s="82"/>
      <c r="G599" s="82"/>
      <c r="H599" s="82"/>
      <c r="I599" s="83"/>
    </row>
    <row r="600" spans="1:9" x14ac:dyDescent="0.3">
      <c r="A600" s="81"/>
      <c r="B600" s="82"/>
      <c r="C600" s="84"/>
      <c r="D600" s="82"/>
      <c r="E600" s="82"/>
      <c r="F600" s="82"/>
      <c r="G600" s="82"/>
      <c r="H600" s="82"/>
      <c r="I600" s="83"/>
    </row>
    <row r="601" spans="1:9" x14ac:dyDescent="0.3">
      <c r="A601" s="81"/>
      <c r="B601" s="82"/>
      <c r="C601" s="84"/>
      <c r="D601" s="82"/>
      <c r="E601" s="82"/>
      <c r="F601" s="82"/>
      <c r="G601" s="82"/>
      <c r="H601" s="82"/>
      <c r="I601" s="83"/>
    </row>
    <row r="602" spans="1:9" x14ac:dyDescent="0.3">
      <c r="A602" s="81"/>
      <c r="B602" s="82"/>
      <c r="C602" s="84"/>
      <c r="D602" s="82"/>
      <c r="E602" s="82"/>
      <c r="F602" s="82"/>
      <c r="G602" s="82"/>
      <c r="H602" s="82"/>
      <c r="I602" s="83"/>
    </row>
    <row r="603" spans="1:9" x14ac:dyDescent="0.3">
      <c r="A603" s="81"/>
      <c r="B603" s="82"/>
      <c r="C603" s="84"/>
      <c r="D603" s="82"/>
      <c r="E603" s="82"/>
      <c r="F603" s="82"/>
      <c r="G603" s="82"/>
      <c r="H603" s="82"/>
      <c r="I603" s="83"/>
    </row>
    <row r="604" spans="1:9" x14ac:dyDescent="0.3">
      <c r="A604" s="81"/>
      <c r="B604" s="82"/>
      <c r="C604" s="84"/>
      <c r="D604" s="82"/>
      <c r="E604" s="82"/>
      <c r="F604" s="82"/>
      <c r="G604" s="82"/>
      <c r="H604" s="82"/>
      <c r="I604" s="83"/>
    </row>
    <row r="605" spans="1:9" x14ac:dyDescent="0.3">
      <c r="A605" s="81"/>
      <c r="B605" s="82"/>
      <c r="C605" s="84"/>
      <c r="D605" s="82"/>
      <c r="E605" s="82"/>
      <c r="F605" s="82"/>
      <c r="G605" s="82"/>
      <c r="H605" s="82"/>
      <c r="I605" s="83"/>
    </row>
    <row r="606" spans="1:9" x14ac:dyDescent="0.3">
      <c r="A606" s="81"/>
      <c r="B606" s="82"/>
      <c r="C606" s="84"/>
      <c r="D606" s="82"/>
      <c r="E606" s="82"/>
      <c r="F606" s="82"/>
      <c r="G606" s="82"/>
      <c r="H606" s="82"/>
      <c r="I606" s="83"/>
    </row>
    <row r="607" spans="1:9" x14ac:dyDescent="0.3">
      <c r="A607" s="81"/>
      <c r="B607" s="82"/>
      <c r="C607" s="84"/>
      <c r="D607" s="82"/>
      <c r="E607" s="82"/>
      <c r="F607" s="82"/>
      <c r="G607" s="82"/>
      <c r="H607" s="82"/>
      <c r="I607" s="83"/>
    </row>
    <row r="608" spans="1:9" x14ac:dyDescent="0.3">
      <c r="A608" s="81"/>
      <c r="B608" s="82"/>
      <c r="C608" s="84"/>
      <c r="D608" s="82"/>
      <c r="E608" s="82"/>
      <c r="F608" s="82"/>
      <c r="G608" s="82"/>
      <c r="H608" s="82"/>
      <c r="I608" s="83"/>
    </row>
    <row r="609" spans="1:9" x14ac:dyDescent="0.3">
      <c r="A609" s="81"/>
      <c r="B609" s="82"/>
      <c r="C609" s="84"/>
      <c r="D609" s="82"/>
      <c r="E609" s="82"/>
      <c r="F609" s="82"/>
      <c r="G609" s="82"/>
      <c r="H609" s="82"/>
      <c r="I609" s="83"/>
    </row>
    <row r="610" spans="1:9" x14ac:dyDescent="0.3">
      <c r="A610" s="81"/>
      <c r="B610" s="82"/>
      <c r="C610" s="84"/>
      <c r="D610" s="82"/>
      <c r="E610" s="82"/>
      <c r="F610" s="82"/>
      <c r="G610" s="82"/>
      <c r="H610" s="82"/>
      <c r="I610" s="83"/>
    </row>
    <row r="611" spans="1:9" x14ac:dyDescent="0.3">
      <c r="A611" s="81"/>
      <c r="B611" s="82"/>
      <c r="C611" s="84"/>
      <c r="D611" s="82"/>
      <c r="E611" s="82"/>
      <c r="F611" s="82"/>
      <c r="G611" s="82"/>
      <c r="H611" s="82"/>
      <c r="I611" s="83"/>
    </row>
    <row r="612" spans="1:9" x14ac:dyDescent="0.3">
      <c r="A612" s="81"/>
      <c r="B612" s="82"/>
      <c r="C612" s="84"/>
      <c r="D612" s="82"/>
      <c r="E612" s="82"/>
      <c r="F612" s="82"/>
      <c r="G612" s="82"/>
      <c r="H612" s="82"/>
      <c r="I612" s="83"/>
    </row>
    <row r="613" spans="1:9" x14ac:dyDescent="0.3">
      <c r="A613" s="81"/>
      <c r="B613" s="82"/>
      <c r="C613" s="84"/>
      <c r="D613" s="82"/>
      <c r="E613" s="82"/>
      <c r="F613" s="82"/>
      <c r="G613" s="82"/>
      <c r="H613" s="82"/>
      <c r="I613" s="83"/>
    </row>
    <row r="614" spans="1:9" x14ac:dyDescent="0.3">
      <c r="A614" s="81"/>
      <c r="B614" s="82"/>
      <c r="C614" s="84"/>
      <c r="D614" s="82"/>
      <c r="E614" s="82"/>
      <c r="F614" s="82"/>
      <c r="G614" s="82"/>
      <c r="H614" s="82"/>
      <c r="I614" s="83"/>
    </row>
    <row r="615" spans="1:9" x14ac:dyDescent="0.3">
      <c r="A615" s="81"/>
      <c r="B615" s="82"/>
      <c r="C615" s="84"/>
      <c r="D615" s="82"/>
      <c r="E615" s="82"/>
      <c r="F615" s="82"/>
      <c r="G615" s="82"/>
      <c r="H615" s="82"/>
      <c r="I615" s="83"/>
    </row>
    <row r="616" spans="1:9" x14ac:dyDescent="0.3">
      <c r="A616" s="81"/>
      <c r="B616" s="82"/>
      <c r="C616" s="84"/>
      <c r="D616" s="82"/>
      <c r="E616" s="82"/>
      <c r="F616" s="82"/>
      <c r="G616" s="82"/>
      <c r="H616" s="82"/>
      <c r="I616" s="83"/>
    </row>
    <row r="617" spans="1:9" x14ac:dyDescent="0.3">
      <c r="A617" s="81"/>
      <c r="B617" s="82"/>
      <c r="C617" s="84"/>
      <c r="D617" s="82"/>
      <c r="E617" s="82"/>
      <c r="F617" s="82"/>
      <c r="G617" s="82"/>
      <c r="H617" s="82"/>
      <c r="I617" s="83"/>
    </row>
    <row r="618" spans="1:9" x14ac:dyDescent="0.3">
      <c r="A618" s="81"/>
      <c r="B618" s="82"/>
      <c r="C618" s="84"/>
      <c r="D618" s="82"/>
      <c r="E618" s="82"/>
      <c r="F618" s="82"/>
      <c r="G618" s="82"/>
      <c r="H618" s="82"/>
      <c r="I618" s="83"/>
    </row>
    <row r="619" spans="1:9" x14ac:dyDescent="0.3">
      <c r="A619" s="81"/>
      <c r="B619" s="82"/>
      <c r="C619" s="84"/>
      <c r="D619" s="82"/>
      <c r="E619" s="82"/>
      <c r="F619" s="82"/>
      <c r="G619" s="82"/>
      <c r="H619" s="82"/>
      <c r="I619" s="83"/>
    </row>
    <row r="620" spans="1:9" x14ac:dyDescent="0.3">
      <c r="A620" s="81"/>
      <c r="B620" s="82"/>
      <c r="C620" s="84"/>
      <c r="D620" s="82"/>
      <c r="E620" s="82"/>
      <c r="F620" s="82"/>
      <c r="G620" s="82"/>
      <c r="H620" s="82"/>
      <c r="I620" s="83"/>
    </row>
    <row r="621" spans="1:9" x14ac:dyDescent="0.3">
      <c r="A621" s="81"/>
      <c r="B621" s="82"/>
      <c r="C621" s="84"/>
      <c r="D621" s="82"/>
      <c r="E621" s="82"/>
      <c r="F621" s="82"/>
      <c r="G621" s="82"/>
      <c r="H621" s="82"/>
      <c r="I621" s="83"/>
    </row>
    <row r="622" spans="1:9" x14ac:dyDescent="0.3">
      <c r="A622" s="81"/>
      <c r="B622" s="82"/>
      <c r="C622" s="84"/>
      <c r="D622" s="82"/>
      <c r="E622" s="82"/>
      <c r="F622" s="82"/>
      <c r="G622" s="82"/>
      <c r="H622" s="82"/>
      <c r="I622" s="83"/>
    </row>
    <row r="623" spans="1:9" x14ac:dyDescent="0.3">
      <c r="A623" s="81"/>
      <c r="B623" s="82"/>
      <c r="C623" s="84"/>
      <c r="D623" s="82"/>
      <c r="E623" s="82"/>
      <c r="F623" s="82"/>
      <c r="G623" s="82"/>
      <c r="H623" s="82"/>
      <c r="I623" s="83"/>
    </row>
    <row r="624" spans="1:9" x14ac:dyDescent="0.3">
      <c r="A624" s="81"/>
      <c r="B624" s="82"/>
      <c r="C624" s="84"/>
      <c r="D624" s="82"/>
      <c r="E624" s="82"/>
      <c r="F624" s="82"/>
      <c r="G624" s="82"/>
      <c r="H624" s="82"/>
      <c r="I624" s="83"/>
    </row>
    <row r="625" spans="1:9" x14ac:dyDescent="0.3">
      <c r="A625" s="81"/>
      <c r="B625" s="82"/>
      <c r="C625" s="84"/>
      <c r="D625" s="82"/>
      <c r="E625" s="82"/>
      <c r="F625" s="82"/>
      <c r="G625" s="82"/>
      <c r="H625" s="82"/>
      <c r="I625" s="83"/>
    </row>
    <row r="626" spans="1:9" x14ac:dyDescent="0.3">
      <c r="A626" s="81"/>
      <c r="B626" s="82"/>
      <c r="C626" s="84"/>
      <c r="D626" s="82"/>
      <c r="E626" s="82"/>
      <c r="F626" s="82"/>
      <c r="G626" s="82"/>
      <c r="H626" s="82"/>
      <c r="I626" s="83"/>
    </row>
    <row r="627" spans="1:9" x14ac:dyDescent="0.3">
      <c r="A627" s="81"/>
      <c r="B627" s="82"/>
      <c r="C627" s="84"/>
      <c r="D627" s="82"/>
      <c r="E627" s="82"/>
      <c r="F627" s="82"/>
      <c r="G627" s="82"/>
      <c r="H627" s="82"/>
      <c r="I627" s="83"/>
    </row>
    <row r="628" spans="1:9" x14ac:dyDescent="0.3">
      <c r="A628" s="81"/>
      <c r="B628" s="82"/>
      <c r="C628" s="84"/>
      <c r="D628" s="82"/>
      <c r="E628" s="82"/>
      <c r="F628" s="82"/>
      <c r="G628" s="82"/>
      <c r="H628" s="82"/>
      <c r="I628" s="83"/>
    </row>
    <row r="629" spans="1:9" x14ac:dyDescent="0.3">
      <c r="A629" s="81"/>
      <c r="B629" s="82"/>
      <c r="C629" s="84"/>
      <c r="D629" s="82"/>
      <c r="E629" s="82"/>
      <c r="F629" s="82"/>
      <c r="G629" s="82"/>
      <c r="H629" s="82"/>
      <c r="I629" s="83"/>
    </row>
    <row r="630" spans="1:9" x14ac:dyDescent="0.3">
      <c r="A630" s="81"/>
      <c r="B630" s="82"/>
      <c r="C630" s="84"/>
      <c r="D630" s="82"/>
      <c r="E630" s="82"/>
      <c r="F630" s="82"/>
      <c r="G630" s="82"/>
      <c r="H630" s="82"/>
      <c r="I630" s="83"/>
    </row>
    <row r="631" spans="1:9" x14ac:dyDescent="0.3">
      <c r="A631" s="81"/>
      <c r="B631" s="82"/>
      <c r="C631" s="84"/>
      <c r="D631" s="82"/>
      <c r="E631" s="82"/>
      <c r="F631" s="82"/>
      <c r="G631" s="82"/>
      <c r="H631" s="82"/>
      <c r="I631" s="83"/>
    </row>
    <row r="632" spans="1:9" x14ac:dyDescent="0.3">
      <c r="A632" s="81"/>
      <c r="B632" s="82"/>
      <c r="C632" s="84"/>
      <c r="D632" s="82"/>
      <c r="E632" s="82"/>
      <c r="F632" s="82"/>
      <c r="G632" s="82"/>
      <c r="H632" s="82"/>
      <c r="I632" s="83"/>
    </row>
    <row r="633" spans="1:9" x14ac:dyDescent="0.3">
      <c r="A633" s="81"/>
      <c r="B633" s="82"/>
      <c r="C633" s="84"/>
      <c r="D633" s="82"/>
      <c r="E633" s="82"/>
      <c r="F633" s="82"/>
      <c r="G633" s="82"/>
      <c r="H633" s="82"/>
      <c r="I633" s="83"/>
    </row>
    <row r="634" spans="1:9" x14ac:dyDescent="0.3">
      <c r="A634" s="81"/>
      <c r="B634" s="82"/>
      <c r="C634" s="84"/>
      <c r="D634" s="82"/>
      <c r="E634" s="82"/>
      <c r="F634" s="82"/>
      <c r="G634" s="82"/>
      <c r="H634" s="82"/>
      <c r="I634" s="83"/>
    </row>
    <row r="635" spans="1:9" x14ac:dyDescent="0.3">
      <c r="A635" s="81"/>
      <c r="B635" s="82"/>
      <c r="C635" s="84"/>
      <c r="D635" s="82"/>
      <c r="E635" s="82"/>
      <c r="F635" s="82"/>
      <c r="G635" s="82"/>
      <c r="H635" s="82"/>
      <c r="I635" s="83"/>
    </row>
    <row r="636" spans="1:9" x14ac:dyDescent="0.3">
      <c r="A636" s="81"/>
      <c r="B636" s="82"/>
      <c r="C636" s="84"/>
      <c r="D636" s="82"/>
      <c r="E636" s="82"/>
      <c r="F636" s="82"/>
      <c r="G636" s="82"/>
      <c r="H636" s="82"/>
      <c r="I636" s="83"/>
    </row>
    <row r="637" spans="1:9" x14ac:dyDescent="0.3">
      <c r="A637" s="81"/>
      <c r="B637" s="82"/>
      <c r="C637" s="84"/>
      <c r="D637" s="82"/>
      <c r="E637" s="82"/>
      <c r="F637" s="82"/>
      <c r="G637" s="82"/>
      <c r="H637" s="82"/>
      <c r="I637" s="83"/>
    </row>
    <row r="638" spans="1:9" x14ac:dyDescent="0.3">
      <c r="A638" s="81"/>
      <c r="B638" s="82"/>
      <c r="C638" s="84"/>
      <c r="D638" s="82"/>
      <c r="E638" s="82"/>
      <c r="F638" s="82"/>
      <c r="G638" s="82"/>
      <c r="H638" s="82"/>
      <c r="I638" s="83"/>
    </row>
    <row r="639" spans="1:9" x14ac:dyDescent="0.3">
      <c r="A639" s="81"/>
      <c r="B639" s="82"/>
      <c r="C639" s="84"/>
      <c r="D639" s="82"/>
      <c r="E639" s="82"/>
      <c r="F639" s="82"/>
      <c r="G639" s="82"/>
      <c r="H639" s="82"/>
      <c r="I639" s="83"/>
    </row>
    <row r="640" spans="1:9" x14ac:dyDescent="0.3">
      <c r="A640" s="81"/>
      <c r="B640" s="82"/>
      <c r="C640" s="84"/>
      <c r="D640" s="82"/>
      <c r="E640" s="82"/>
      <c r="F640" s="82"/>
      <c r="G640" s="82"/>
      <c r="H640" s="82"/>
      <c r="I640" s="83"/>
    </row>
    <row r="641" spans="1:9" x14ac:dyDescent="0.3">
      <c r="A641" s="81"/>
      <c r="B641" s="82"/>
      <c r="C641" s="84"/>
      <c r="D641" s="82"/>
      <c r="E641" s="82"/>
      <c r="F641" s="82"/>
      <c r="G641" s="82"/>
      <c r="H641" s="82"/>
      <c r="I641" s="83"/>
    </row>
    <row r="642" spans="1:9" x14ac:dyDescent="0.3">
      <c r="A642" s="81"/>
      <c r="B642" s="82"/>
      <c r="C642" s="84"/>
      <c r="D642" s="82"/>
      <c r="E642" s="82"/>
      <c r="F642" s="82"/>
      <c r="G642" s="82"/>
      <c r="H642" s="82"/>
      <c r="I642" s="83"/>
    </row>
    <row r="643" spans="1:9" x14ac:dyDescent="0.3">
      <c r="A643" s="81"/>
      <c r="B643" s="82"/>
      <c r="C643" s="84"/>
      <c r="D643" s="82"/>
      <c r="E643" s="82"/>
      <c r="F643" s="82"/>
      <c r="G643" s="82"/>
      <c r="H643" s="82"/>
      <c r="I643" s="83"/>
    </row>
    <row r="644" spans="1:9" x14ac:dyDescent="0.3">
      <c r="A644" s="81"/>
      <c r="B644" s="82"/>
      <c r="C644" s="84"/>
      <c r="D644" s="82"/>
      <c r="E644" s="82"/>
      <c r="F644" s="82"/>
      <c r="G644" s="82"/>
      <c r="H644" s="82"/>
      <c r="I644" s="83"/>
    </row>
    <row r="645" spans="1:9" x14ac:dyDescent="0.3">
      <c r="A645" s="81"/>
      <c r="B645" s="82"/>
      <c r="C645" s="84"/>
      <c r="D645" s="82"/>
      <c r="E645" s="82"/>
      <c r="F645" s="82"/>
      <c r="G645" s="82"/>
      <c r="H645" s="82"/>
      <c r="I645" s="83"/>
    </row>
    <row r="646" spans="1:9" x14ac:dyDescent="0.3">
      <c r="A646" s="81"/>
      <c r="B646" s="82"/>
      <c r="C646" s="84"/>
      <c r="D646" s="82"/>
      <c r="E646" s="82"/>
      <c r="F646" s="82"/>
      <c r="G646" s="82"/>
      <c r="H646" s="82"/>
      <c r="I646" s="83"/>
    </row>
    <row r="647" spans="1:9" x14ac:dyDescent="0.3">
      <c r="A647" s="81"/>
      <c r="B647" s="82"/>
      <c r="C647" s="84"/>
      <c r="D647" s="82"/>
      <c r="E647" s="82"/>
      <c r="F647" s="82"/>
      <c r="G647" s="82"/>
      <c r="H647" s="82"/>
      <c r="I647" s="83"/>
    </row>
    <row r="648" spans="1:9" x14ac:dyDescent="0.3">
      <c r="A648" s="81"/>
      <c r="B648" s="82"/>
      <c r="C648" s="84"/>
      <c r="D648" s="82"/>
      <c r="E648" s="82"/>
      <c r="F648" s="82"/>
      <c r="G648" s="82"/>
      <c r="H648" s="82"/>
      <c r="I648" s="83"/>
    </row>
    <row r="649" spans="1:9" x14ac:dyDescent="0.3">
      <c r="A649" s="81"/>
      <c r="B649" s="82"/>
      <c r="C649" s="84"/>
      <c r="D649" s="82"/>
      <c r="E649" s="82"/>
      <c r="F649" s="82"/>
      <c r="G649" s="82"/>
      <c r="H649" s="82"/>
      <c r="I649" s="83"/>
    </row>
    <row r="650" spans="1:9" x14ac:dyDescent="0.3">
      <c r="A650" s="81"/>
      <c r="B650" s="82"/>
      <c r="C650" s="84"/>
      <c r="D650" s="82"/>
      <c r="E650" s="82"/>
      <c r="F650" s="82"/>
      <c r="G650" s="82"/>
      <c r="H650" s="82"/>
      <c r="I650" s="83"/>
    </row>
    <row r="651" spans="1:9" x14ac:dyDescent="0.3">
      <c r="A651" s="81"/>
      <c r="B651" s="82"/>
      <c r="C651" s="84"/>
      <c r="D651" s="82"/>
      <c r="E651" s="82"/>
      <c r="F651" s="82"/>
      <c r="G651" s="82"/>
      <c r="H651" s="82"/>
      <c r="I651" s="83"/>
    </row>
    <row r="652" spans="1:9" x14ac:dyDescent="0.3">
      <c r="A652" s="81"/>
      <c r="B652" s="82"/>
      <c r="C652" s="84"/>
      <c r="D652" s="82"/>
      <c r="E652" s="82"/>
      <c r="F652" s="82"/>
      <c r="G652" s="82"/>
      <c r="H652" s="82"/>
      <c r="I652" s="83"/>
    </row>
    <row r="653" spans="1:9" x14ac:dyDescent="0.3">
      <c r="A653" s="81"/>
      <c r="B653" s="82"/>
      <c r="C653" s="84"/>
      <c r="D653" s="82"/>
      <c r="E653" s="82"/>
      <c r="F653" s="82"/>
      <c r="G653" s="82"/>
      <c r="H653" s="82"/>
      <c r="I653" s="83"/>
    </row>
    <row r="654" spans="1:9" x14ac:dyDescent="0.3">
      <c r="A654" s="81"/>
      <c r="B654" s="82"/>
      <c r="C654" s="84"/>
      <c r="D654" s="82"/>
      <c r="E654" s="82"/>
      <c r="F654" s="82"/>
      <c r="G654" s="82"/>
      <c r="H654" s="82"/>
      <c r="I654" s="83"/>
    </row>
    <row r="655" spans="1:9" x14ac:dyDescent="0.3">
      <c r="A655" s="81"/>
      <c r="B655" s="82"/>
      <c r="C655" s="84"/>
      <c r="D655" s="82"/>
      <c r="E655" s="82"/>
      <c r="F655" s="82"/>
      <c r="G655" s="82"/>
      <c r="H655" s="82"/>
      <c r="I655" s="83"/>
    </row>
    <row r="656" spans="1:9" x14ac:dyDescent="0.3">
      <c r="A656" s="81"/>
      <c r="B656" s="82"/>
      <c r="C656" s="84"/>
      <c r="D656" s="82"/>
      <c r="E656" s="82"/>
      <c r="F656" s="82"/>
      <c r="G656" s="82"/>
      <c r="H656" s="82"/>
      <c r="I656" s="83"/>
    </row>
    <row r="657" spans="1:9" x14ac:dyDescent="0.3">
      <c r="A657" s="81"/>
      <c r="B657" s="82"/>
      <c r="C657" s="84"/>
      <c r="D657" s="82"/>
      <c r="E657" s="82"/>
      <c r="F657" s="82"/>
      <c r="G657" s="82"/>
      <c r="H657" s="82"/>
      <c r="I657" s="83"/>
    </row>
    <row r="658" spans="1:9" x14ac:dyDescent="0.3">
      <c r="A658" s="81"/>
      <c r="B658" s="82"/>
      <c r="C658" s="84"/>
      <c r="D658" s="82"/>
      <c r="E658" s="82"/>
      <c r="F658" s="82"/>
      <c r="G658" s="82"/>
      <c r="H658" s="82"/>
      <c r="I658" s="83"/>
    </row>
    <row r="659" spans="1:9" x14ac:dyDescent="0.3">
      <c r="A659" s="81"/>
      <c r="B659" s="82"/>
      <c r="C659" s="84"/>
      <c r="D659" s="82"/>
      <c r="E659" s="82"/>
      <c r="F659" s="82"/>
      <c r="G659" s="82"/>
      <c r="H659" s="82"/>
      <c r="I659" s="83"/>
    </row>
    <row r="660" spans="1:9" x14ac:dyDescent="0.3">
      <c r="A660" s="81"/>
      <c r="B660" s="82"/>
      <c r="C660" s="84"/>
      <c r="D660" s="82"/>
      <c r="E660" s="82"/>
      <c r="F660" s="82"/>
      <c r="G660" s="82"/>
      <c r="H660" s="82"/>
      <c r="I660" s="83"/>
    </row>
    <row r="661" spans="1:9" x14ac:dyDescent="0.3">
      <c r="A661" s="81"/>
      <c r="B661" s="82"/>
      <c r="C661" s="84"/>
      <c r="D661" s="82"/>
      <c r="E661" s="82"/>
      <c r="F661" s="82"/>
      <c r="G661" s="82"/>
      <c r="H661" s="82"/>
      <c r="I661" s="83"/>
    </row>
    <row r="662" spans="1:9" x14ac:dyDescent="0.3">
      <c r="A662" s="81"/>
      <c r="B662" s="82"/>
      <c r="C662" s="84"/>
      <c r="D662" s="82"/>
      <c r="E662" s="82"/>
      <c r="F662" s="82"/>
      <c r="G662" s="82"/>
      <c r="H662" s="82"/>
      <c r="I662" s="83"/>
    </row>
    <row r="663" spans="1:9" x14ac:dyDescent="0.3">
      <c r="A663" s="81"/>
      <c r="B663" s="82"/>
      <c r="C663" s="84"/>
      <c r="D663" s="82"/>
      <c r="E663" s="82"/>
      <c r="F663" s="82"/>
      <c r="G663" s="82"/>
      <c r="H663" s="82"/>
      <c r="I663" s="83"/>
    </row>
    <row r="664" spans="1:9" x14ac:dyDescent="0.3">
      <c r="A664" s="81"/>
      <c r="B664" s="82"/>
      <c r="C664" s="84"/>
      <c r="D664" s="82"/>
      <c r="E664" s="82"/>
      <c r="F664" s="82"/>
      <c r="G664" s="82"/>
      <c r="H664" s="82"/>
      <c r="I664" s="83"/>
    </row>
    <row r="665" spans="1:9" x14ac:dyDescent="0.3">
      <c r="A665" s="81"/>
      <c r="B665" s="82"/>
      <c r="C665" s="84"/>
      <c r="D665" s="82"/>
      <c r="E665" s="82"/>
      <c r="F665" s="82"/>
      <c r="G665" s="82"/>
      <c r="H665" s="82"/>
      <c r="I665" s="83"/>
    </row>
    <row r="666" spans="1:9" x14ac:dyDescent="0.3">
      <c r="A666" s="81"/>
      <c r="B666" s="82"/>
      <c r="C666" s="84"/>
      <c r="D666" s="82"/>
      <c r="E666" s="82"/>
      <c r="F666" s="82"/>
      <c r="G666" s="82"/>
      <c r="H666" s="82"/>
      <c r="I666" s="83"/>
    </row>
    <row r="667" spans="1:9" x14ac:dyDescent="0.3">
      <c r="A667" s="81"/>
      <c r="B667" s="82"/>
      <c r="C667" s="84"/>
      <c r="D667" s="82"/>
      <c r="E667" s="82"/>
      <c r="F667" s="82"/>
      <c r="G667" s="82"/>
      <c r="H667" s="82"/>
      <c r="I667" s="83"/>
    </row>
    <row r="668" spans="1:9" x14ac:dyDescent="0.3">
      <c r="A668" s="81"/>
      <c r="B668" s="82"/>
      <c r="C668" s="84"/>
      <c r="D668" s="82"/>
      <c r="E668" s="82"/>
      <c r="F668" s="82"/>
      <c r="G668" s="82"/>
      <c r="H668" s="82"/>
      <c r="I668" s="83"/>
    </row>
    <row r="669" spans="1:9" x14ac:dyDescent="0.3">
      <c r="A669" s="81"/>
      <c r="B669" s="82"/>
      <c r="C669" s="84"/>
      <c r="D669" s="82"/>
      <c r="E669" s="82"/>
      <c r="F669" s="82"/>
      <c r="G669" s="82"/>
      <c r="H669" s="82"/>
      <c r="I669" s="83"/>
    </row>
    <row r="670" spans="1:9" x14ac:dyDescent="0.3">
      <c r="A670" s="81"/>
      <c r="B670" s="82"/>
      <c r="C670" s="84"/>
      <c r="D670" s="82"/>
      <c r="E670" s="82"/>
      <c r="F670" s="82"/>
      <c r="G670" s="82"/>
      <c r="H670" s="82"/>
      <c r="I670" s="83"/>
    </row>
    <row r="671" spans="1:9" x14ac:dyDescent="0.3">
      <c r="A671" s="81"/>
      <c r="B671" s="82"/>
      <c r="C671" s="84"/>
      <c r="D671" s="82"/>
      <c r="E671" s="82"/>
      <c r="F671" s="82"/>
      <c r="G671" s="82"/>
      <c r="H671" s="82"/>
      <c r="I671" s="83"/>
    </row>
    <row r="672" spans="1:9" x14ac:dyDescent="0.3">
      <c r="A672" s="81"/>
      <c r="B672" s="82"/>
      <c r="C672" s="84"/>
      <c r="D672" s="82"/>
      <c r="E672" s="82"/>
      <c r="F672" s="82"/>
      <c r="G672" s="82"/>
      <c r="H672" s="82"/>
      <c r="I672" s="83"/>
    </row>
    <row r="673" spans="1:9" x14ac:dyDescent="0.3">
      <c r="A673" s="81"/>
      <c r="B673" s="82"/>
      <c r="C673" s="84"/>
      <c r="D673" s="82"/>
      <c r="E673" s="82"/>
      <c r="F673" s="82"/>
      <c r="G673" s="82"/>
      <c r="H673" s="82"/>
      <c r="I673" s="83"/>
    </row>
    <row r="674" spans="1:9" x14ac:dyDescent="0.3">
      <c r="A674" s="81"/>
      <c r="B674" s="82"/>
      <c r="C674" s="84"/>
      <c r="D674" s="82"/>
      <c r="E674" s="82"/>
      <c r="F674" s="82"/>
      <c r="G674" s="82"/>
      <c r="H674" s="82"/>
      <c r="I674" s="83"/>
    </row>
    <row r="675" spans="1:9" x14ac:dyDescent="0.3">
      <c r="A675" s="81"/>
      <c r="B675" s="82"/>
      <c r="C675" s="84"/>
      <c r="D675" s="82"/>
      <c r="E675" s="82"/>
      <c r="F675" s="82"/>
      <c r="G675" s="82"/>
      <c r="H675" s="82"/>
      <c r="I675" s="83"/>
    </row>
    <row r="676" spans="1:9" x14ac:dyDescent="0.3">
      <c r="A676" s="81"/>
      <c r="B676" s="82"/>
      <c r="C676" s="84"/>
      <c r="D676" s="82"/>
      <c r="E676" s="82"/>
      <c r="F676" s="82"/>
      <c r="G676" s="82"/>
      <c r="H676" s="82"/>
      <c r="I676" s="83"/>
    </row>
    <row r="677" spans="1:9" x14ac:dyDescent="0.3">
      <c r="A677" s="81"/>
      <c r="B677" s="82"/>
      <c r="C677" s="84"/>
      <c r="D677" s="82"/>
      <c r="E677" s="82"/>
      <c r="F677" s="82"/>
      <c r="G677" s="82"/>
      <c r="H677" s="82"/>
      <c r="I677" s="83"/>
    </row>
    <row r="678" spans="1:9" x14ac:dyDescent="0.3">
      <c r="A678" s="81"/>
      <c r="B678" s="82"/>
      <c r="C678" s="84"/>
      <c r="D678" s="82"/>
      <c r="E678" s="82"/>
      <c r="F678" s="82"/>
      <c r="G678" s="82"/>
      <c r="H678" s="82"/>
      <c r="I678" s="83"/>
    </row>
    <row r="679" spans="1:9" x14ac:dyDescent="0.3">
      <c r="A679" s="81"/>
      <c r="B679" s="82"/>
      <c r="C679" s="84"/>
      <c r="D679" s="82"/>
      <c r="E679" s="82"/>
      <c r="F679" s="82"/>
      <c r="G679" s="82"/>
      <c r="H679" s="82"/>
      <c r="I679" s="83"/>
    </row>
    <row r="680" spans="1:9" x14ac:dyDescent="0.3">
      <c r="A680" s="81"/>
      <c r="B680" s="82"/>
      <c r="C680" s="84"/>
      <c r="D680" s="82"/>
      <c r="E680" s="82"/>
      <c r="F680" s="82"/>
      <c r="G680" s="82"/>
      <c r="H680" s="82"/>
      <c r="I680" s="83"/>
    </row>
    <row r="681" spans="1:9" x14ac:dyDescent="0.3">
      <c r="A681" s="81"/>
      <c r="B681" s="82"/>
      <c r="C681" s="84"/>
      <c r="D681" s="82"/>
      <c r="E681" s="82"/>
      <c r="F681" s="82"/>
      <c r="G681" s="82"/>
      <c r="H681" s="82"/>
      <c r="I681" s="83"/>
    </row>
    <row r="682" spans="1:9" x14ac:dyDescent="0.3">
      <c r="A682" s="81"/>
      <c r="B682" s="82"/>
      <c r="C682" s="84"/>
      <c r="D682" s="82"/>
      <c r="E682" s="82"/>
      <c r="F682" s="82"/>
      <c r="G682" s="82"/>
      <c r="H682" s="82"/>
      <c r="I682" s="83"/>
    </row>
    <row r="683" spans="1:9" x14ac:dyDescent="0.3">
      <c r="A683" s="81"/>
      <c r="B683" s="82"/>
      <c r="C683" s="84"/>
      <c r="D683" s="82"/>
      <c r="E683" s="82"/>
      <c r="F683" s="82"/>
      <c r="G683" s="82"/>
      <c r="H683" s="82"/>
      <c r="I683" s="83"/>
    </row>
    <row r="684" spans="1:9" x14ac:dyDescent="0.3">
      <c r="A684" s="81"/>
      <c r="B684" s="82"/>
      <c r="C684" s="84"/>
      <c r="D684" s="82"/>
      <c r="E684" s="82"/>
      <c r="F684" s="82"/>
      <c r="G684" s="82"/>
      <c r="H684" s="82"/>
      <c r="I684" s="83"/>
    </row>
    <row r="685" spans="1:9" x14ac:dyDescent="0.3">
      <c r="A685" s="81"/>
      <c r="B685" s="82"/>
      <c r="C685" s="84"/>
      <c r="D685" s="82"/>
      <c r="E685" s="82"/>
      <c r="F685" s="82"/>
      <c r="G685" s="82"/>
      <c r="H685" s="82"/>
      <c r="I685" s="83"/>
    </row>
    <row r="686" spans="1:9" x14ac:dyDescent="0.3">
      <c r="A686" s="81"/>
      <c r="B686" s="82"/>
      <c r="C686" s="84"/>
      <c r="D686" s="82"/>
      <c r="E686" s="82"/>
      <c r="F686" s="82"/>
      <c r="G686" s="82"/>
      <c r="H686" s="82"/>
      <c r="I686" s="83"/>
    </row>
    <row r="687" spans="1:9" x14ac:dyDescent="0.3">
      <c r="A687" s="81"/>
      <c r="B687" s="82"/>
      <c r="C687" s="84"/>
      <c r="D687" s="82"/>
      <c r="E687" s="82"/>
      <c r="F687" s="82"/>
      <c r="G687" s="82"/>
      <c r="H687" s="82"/>
      <c r="I687" s="83"/>
    </row>
    <row r="688" spans="1:9" x14ac:dyDescent="0.3">
      <c r="A688" s="81"/>
      <c r="B688" s="82"/>
      <c r="C688" s="84"/>
      <c r="D688" s="82"/>
      <c r="E688" s="82"/>
      <c r="F688" s="82"/>
      <c r="G688" s="82"/>
      <c r="H688" s="82"/>
      <c r="I688" s="83"/>
    </row>
    <row r="689" spans="1:9" x14ac:dyDescent="0.3">
      <c r="A689" s="81"/>
      <c r="B689" s="82"/>
      <c r="C689" s="84"/>
      <c r="D689" s="82"/>
      <c r="E689" s="82"/>
      <c r="F689" s="82"/>
      <c r="G689" s="82"/>
      <c r="H689" s="82"/>
      <c r="I689" s="83"/>
    </row>
    <row r="690" spans="1:9" x14ac:dyDescent="0.3">
      <c r="A690" s="81"/>
      <c r="B690" s="82"/>
      <c r="C690" s="84"/>
      <c r="D690" s="82"/>
      <c r="E690" s="82"/>
      <c r="F690" s="82"/>
      <c r="G690" s="82"/>
      <c r="H690" s="82"/>
      <c r="I690" s="83"/>
    </row>
    <row r="691" spans="1:9" x14ac:dyDescent="0.3">
      <c r="A691" s="81"/>
      <c r="B691" s="82"/>
      <c r="C691" s="84"/>
      <c r="D691" s="82"/>
      <c r="E691" s="82"/>
      <c r="F691" s="82"/>
      <c r="G691" s="82"/>
      <c r="H691" s="82"/>
      <c r="I691" s="83"/>
    </row>
    <row r="692" spans="1:9" x14ac:dyDescent="0.3">
      <c r="A692" s="81"/>
      <c r="B692" s="82"/>
      <c r="C692" s="84"/>
      <c r="D692" s="82"/>
      <c r="E692" s="82"/>
      <c r="F692" s="82"/>
      <c r="G692" s="82"/>
      <c r="H692" s="82"/>
      <c r="I692" s="83"/>
    </row>
    <row r="693" spans="1:9" x14ac:dyDescent="0.3">
      <c r="A693" s="81"/>
      <c r="B693" s="82"/>
      <c r="C693" s="84"/>
      <c r="D693" s="82"/>
      <c r="E693" s="82"/>
      <c r="F693" s="82"/>
      <c r="G693" s="82"/>
      <c r="H693" s="82"/>
      <c r="I693" s="83"/>
    </row>
    <row r="694" spans="1:9" x14ac:dyDescent="0.3">
      <c r="A694" s="81"/>
      <c r="B694" s="82"/>
      <c r="C694" s="84"/>
      <c r="D694" s="82"/>
      <c r="E694" s="82"/>
      <c r="F694" s="82"/>
      <c r="G694" s="82"/>
      <c r="H694" s="82"/>
      <c r="I694" s="83"/>
    </row>
    <row r="695" spans="1:9" x14ac:dyDescent="0.3">
      <c r="A695" s="81"/>
      <c r="B695" s="82"/>
      <c r="C695" s="84"/>
      <c r="D695" s="82"/>
      <c r="E695" s="82"/>
      <c r="F695" s="82"/>
      <c r="G695" s="82"/>
      <c r="H695" s="82"/>
      <c r="I695" s="83"/>
    </row>
    <row r="696" spans="1:9" x14ac:dyDescent="0.3">
      <c r="A696" s="81"/>
      <c r="B696" s="82"/>
      <c r="C696" s="84"/>
      <c r="D696" s="82"/>
      <c r="E696" s="82"/>
      <c r="F696" s="82"/>
      <c r="G696" s="82"/>
      <c r="H696" s="82"/>
      <c r="I696" s="83"/>
    </row>
    <row r="697" spans="1:9" x14ac:dyDescent="0.3">
      <c r="A697" s="81"/>
      <c r="B697" s="82"/>
      <c r="C697" s="84"/>
      <c r="D697" s="82"/>
      <c r="E697" s="82"/>
      <c r="F697" s="82"/>
      <c r="G697" s="82"/>
      <c r="H697" s="82"/>
      <c r="I697" s="83"/>
    </row>
    <row r="698" spans="1:9" x14ac:dyDescent="0.3">
      <c r="A698" s="81"/>
      <c r="B698" s="82"/>
      <c r="C698" s="84"/>
      <c r="D698" s="82"/>
      <c r="E698" s="82"/>
      <c r="F698" s="82"/>
      <c r="G698" s="82"/>
      <c r="H698" s="82"/>
      <c r="I698" s="83"/>
    </row>
    <row r="699" spans="1:9" x14ac:dyDescent="0.3">
      <c r="A699" s="81"/>
      <c r="B699" s="82"/>
      <c r="C699" s="84"/>
      <c r="D699" s="82"/>
      <c r="E699" s="82"/>
      <c r="F699" s="82"/>
      <c r="G699" s="82"/>
      <c r="H699" s="82"/>
      <c r="I699" s="83"/>
    </row>
    <row r="700" spans="1:9" x14ac:dyDescent="0.3">
      <c r="A700" s="81"/>
      <c r="B700" s="82"/>
      <c r="C700" s="84"/>
      <c r="D700" s="82"/>
      <c r="E700" s="82"/>
      <c r="F700" s="82"/>
      <c r="G700" s="82"/>
      <c r="H700" s="82"/>
      <c r="I700" s="83"/>
    </row>
    <row r="701" spans="1:9" x14ac:dyDescent="0.3">
      <c r="A701" s="81"/>
      <c r="B701" s="82"/>
      <c r="C701" s="84"/>
      <c r="D701" s="82"/>
      <c r="E701" s="82"/>
      <c r="F701" s="82"/>
      <c r="G701" s="82"/>
      <c r="H701" s="82"/>
      <c r="I701" s="83"/>
    </row>
    <row r="702" spans="1:9" x14ac:dyDescent="0.3">
      <c r="A702" s="81"/>
      <c r="B702" s="82"/>
      <c r="C702" s="84"/>
      <c r="D702" s="82"/>
      <c r="E702" s="82"/>
      <c r="F702" s="82"/>
      <c r="G702" s="82"/>
      <c r="H702" s="82"/>
      <c r="I702" s="83"/>
    </row>
    <row r="703" spans="1:9" x14ac:dyDescent="0.3">
      <c r="A703" s="81"/>
      <c r="B703" s="82"/>
      <c r="C703" s="84"/>
      <c r="D703" s="82"/>
      <c r="E703" s="82"/>
      <c r="F703" s="82"/>
      <c r="G703" s="82"/>
      <c r="H703" s="82"/>
      <c r="I703" s="83"/>
    </row>
    <row r="704" spans="1:9" x14ac:dyDescent="0.3">
      <c r="A704" s="81"/>
      <c r="B704" s="82"/>
      <c r="C704" s="84"/>
      <c r="D704" s="82"/>
      <c r="E704" s="82"/>
      <c r="F704" s="82"/>
      <c r="G704" s="82"/>
      <c r="H704" s="82"/>
      <c r="I704" s="83"/>
    </row>
    <row r="705" spans="1:9" x14ac:dyDescent="0.3">
      <c r="A705" s="81"/>
      <c r="B705" s="82"/>
      <c r="C705" s="84"/>
      <c r="D705" s="82"/>
      <c r="E705" s="82"/>
      <c r="F705" s="82"/>
      <c r="G705" s="82"/>
      <c r="H705" s="82"/>
      <c r="I705" s="83"/>
    </row>
    <row r="706" spans="1:9" x14ac:dyDescent="0.3">
      <c r="A706" s="81"/>
      <c r="B706" s="82"/>
      <c r="C706" s="84"/>
      <c r="D706" s="82"/>
      <c r="E706" s="82"/>
      <c r="F706" s="82"/>
      <c r="G706" s="82"/>
      <c r="H706" s="82"/>
      <c r="I706" s="83"/>
    </row>
    <row r="707" spans="1:9" x14ac:dyDescent="0.3">
      <c r="A707" s="81"/>
      <c r="B707" s="82"/>
      <c r="C707" s="84"/>
      <c r="D707" s="82"/>
      <c r="E707" s="82"/>
      <c r="F707" s="82"/>
      <c r="G707" s="82"/>
      <c r="H707" s="82"/>
      <c r="I707" s="83"/>
    </row>
    <row r="708" spans="1:9" x14ac:dyDescent="0.3">
      <c r="A708" s="81"/>
      <c r="B708" s="82"/>
      <c r="C708" s="84"/>
      <c r="D708" s="82"/>
      <c r="E708" s="82"/>
      <c r="F708" s="82"/>
      <c r="G708" s="82"/>
      <c r="H708" s="82"/>
      <c r="I708" s="83"/>
    </row>
    <row r="709" spans="1:9" x14ac:dyDescent="0.3">
      <c r="A709" s="81"/>
      <c r="B709" s="82"/>
      <c r="C709" s="84"/>
      <c r="D709" s="82"/>
      <c r="E709" s="82"/>
      <c r="F709" s="82"/>
      <c r="G709" s="82"/>
      <c r="H709" s="82"/>
      <c r="I709" s="83"/>
    </row>
    <row r="710" spans="1:9" x14ac:dyDescent="0.3">
      <c r="A710" s="81"/>
      <c r="B710" s="82"/>
      <c r="C710" s="84"/>
      <c r="D710" s="82"/>
      <c r="E710" s="82"/>
      <c r="F710" s="82"/>
      <c r="G710" s="82"/>
      <c r="H710" s="82"/>
      <c r="I710" s="83"/>
    </row>
    <row r="711" spans="1:9" x14ac:dyDescent="0.3">
      <c r="A711" s="81"/>
      <c r="B711" s="82"/>
      <c r="C711" s="84"/>
      <c r="D711" s="82"/>
      <c r="E711" s="82"/>
      <c r="F711" s="82"/>
      <c r="G711" s="82"/>
      <c r="H711" s="82"/>
      <c r="I711" s="83"/>
    </row>
    <row r="712" spans="1:9" x14ac:dyDescent="0.3">
      <c r="A712" s="81"/>
      <c r="B712" s="82"/>
      <c r="C712" s="84"/>
      <c r="D712" s="82"/>
      <c r="E712" s="82"/>
      <c r="F712" s="82"/>
      <c r="G712" s="82"/>
      <c r="H712" s="82"/>
      <c r="I712" s="83"/>
    </row>
    <row r="713" spans="1:9" x14ac:dyDescent="0.3">
      <c r="A713" s="81"/>
      <c r="B713" s="82"/>
      <c r="C713" s="84"/>
      <c r="D713" s="82"/>
      <c r="E713" s="82"/>
      <c r="F713" s="82"/>
      <c r="G713" s="82"/>
      <c r="H713" s="82"/>
      <c r="I713" s="83"/>
    </row>
    <row r="714" spans="1:9" x14ac:dyDescent="0.3">
      <c r="A714" s="81"/>
      <c r="B714" s="82"/>
      <c r="C714" s="84"/>
      <c r="D714" s="82"/>
      <c r="E714" s="82"/>
      <c r="F714" s="82"/>
      <c r="G714" s="82"/>
      <c r="H714" s="82"/>
      <c r="I714" s="83"/>
    </row>
    <row r="715" spans="1:9" x14ac:dyDescent="0.3">
      <c r="A715" s="81"/>
      <c r="B715" s="82"/>
      <c r="C715" s="84"/>
      <c r="D715" s="82"/>
      <c r="E715" s="82"/>
      <c r="F715" s="82"/>
      <c r="G715" s="82"/>
      <c r="H715" s="82"/>
      <c r="I715" s="83"/>
    </row>
    <row r="716" spans="1:9" x14ac:dyDescent="0.3">
      <c r="A716" s="81"/>
      <c r="B716" s="82"/>
      <c r="C716" s="84"/>
      <c r="D716" s="82"/>
      <c r="E716" s="82"/>
      <c r="F716" s="82"/>
      <c r="G716" s="82"/>
      <c r="H716" s="82"/>
      <c r="I716" s="83"/>
    </row>
    <row r="717" spans="1:9" x14ac:dyDescent="0.3">
      <c r="A717" s="81"/>
      <c r="B717" s="82"/>
      <c r="C717" s="84"/>
      <c r="D717" s="82"/>
      <c r="E717" s="82"/>
      <c r="F717" s="82"/>
      <c r="G717" s="82"/>
      <c r="H717" s="82"/>
      <c r="I717" s="83"/>
    </row>
    <row r="718" spans="1:9" x14ac:dyDescent="0.3">
      <c r="A718" s="81"/>
      <c r="B718" s="82"/>
      <c r="C718" s="84"/>
      <c r="D718" s="82"/>
      <c r="E718" s="82"/>
      <c r="F718" s="82"/>
      <c r="G718" s="82"/>
      <c r="H718" s="82"/>
      <c r="I718" s="83"/>
    </row>
    <row r="719" spans="1:9" x14ac:dyDescent="0.3">
      <c r="A719" s="81"/>
      <c r="B719" s="82"/>
      <c r="C719" s="84"/>
      <c r="D719" s="82"/>
      <c r="E719" s="82"/>
      <c r="F719" s="82"/>
      <c r="G719" s="82"/>
      <c r="H719" s="82"/>
      <c r="I719" s="83"/>
    </row>
    <row r="720" spans="1:9" x14ac:dyDescent="0.3">
      <c r="A720" s="81"/>
      <c r="B720" s="82"/>
      <c r="C720" s="84"/>
      <c r="D720" s="82"/>
      <c r="E720" s="82"/>
      <c r="F720" s="82"/>
      <c r="G720" s="82"/>
      <c r="H720" s="82"/>
      <c r="I720" s="83"/>
    </row>
    <row r="721" spans="1:9" x14ac:dyDescent="0.3">
      <c r="A721" s="81"/>
      <c r="B721" s="82"/>
      <c r="C721" s="84"/>
      <c r="D721" s="82"/>
      <c r="E721" s="82"/>
      <c r="F721" s="82"/>
      <c r="G721" s="82"/>
      <c r="H721" s="82"/>
      <c r="I721" s="83"/>
    </row>
    <row r="722" spans="1:9" x14ac:dyDescent="0.3">
      <c r="A722" s="81"/>
      <c r="B722" s="82"/>
      <c r="C722" s="84"/>
      <c r="D722" s="82"/>
      <c r="E722" s="82"/>
      <c r="F722" s="82"/>
      <c r="G722" s="82"/>
      <c r="H722" s="82"/>
      <c r="I722" s="83"/>
    </row>
    <row r="723" spans="1:9" x14ac:dyDescent="0.3">
      <c r="A723" s="81"/>
      <c r="B723" s="82"/>
      <c r="C723" s="84"/>
      <c r="D723" s="82"/>
      <c r="E723" s="82"/>
      <c r="F723" s="82"/>
      <c r="G723" s="82"/>
      <c r="H723" s="82"/>
      <c r="I723" s="83"/>
    </row>
    <row r="724" spans="1:9" x14ac:dyDescent="0.3">
      <c r="A724" s="81"/>
      <c r="B724" s="82"/>
      <c r="C724" s="84"/>
      <c r="D724" s="82"/>
      <c r="E724" s="82"/>
      <c r="F724" s="82"/>
      <c r="G724" s="82"/>
      <c r="H724" s="82"/>
      <c r="I724" s="83"/>
    </row>
    <row r="725" spans="1:9" x14ac:dyDescent="0.3">
      <c r="A725" s="81"/>
      <c r="B725" s="82"/>
      <c r="C725" s="84"/>
      <c r="D725" s="82"/>
      <c r="E725" s="82"/>
      <c r="F725" s="82"/>
      <c r="G725" s="82"/>
      <c r="H725" s="82"/>
      <c r="I725" s="83"/>
    </row>
    <row r="726" spans="1:9" x14ac:dyDescent="0.3">
      <c r="A726" s="81"/>
      <c r="B726" s="82"/>
      <c r="C726" s="84"/>
      <c r="D726" s="82"/>
      <c r="E726" s="82"/>
      <c r="F726" s="82"/>
      <c r="G726" s="82"/>
      <c r="H726" s="82"/>
      <c r="I726" s="83"/>
    </row>
    <row r="727" spans="1:9" x14ac:dyDescent="0.3">
      <c r="A727" s="81"/>
      <c r="B727" s="82"/>
      <c r="C727" s="84"/>
      <c r="D727" s="82"/>
      <c r="E727" s="82"/>
      <c r="F727" s="82"/>
      <c r="G727" s="82"/>
      <c r="H727" s="82"/>
      <c r="I727" s="83"/>
    </row>
    <row r="728" spans="1:9" x14ac:dyDescent="0.3">
      <c r="A728" s="81"/>
      <c r="B728" s="82"/>
      <c r="C728" s="84"/>
      <c r="D728" s="82"/>
      <c r="E728" s="82"/>
      <c r="F728" s="82"/>
      <c r="G728" s="82"/>
      <c r="H728" s="82"/>
      <c r="I728" s="83"/>
    </row>
    <row r="729" spans="1:9" x14ac:dyDescent="0.3">
      <c r="A729" s="81"/>
      <c r="B729" s="82"/>
      <c r="C729" s="84"/>
      <c r="D729" s="82"/>
      <c r="E729" s="82"/>
      <c r="F729" s="82"/>
      <c r="G729" s="82"/>
      <c r="H729" s="82"/>
      <c r="I729" s="83"/>
    </row>
    <row r="730" spans="1:9" x14ac:dyDescent="0.3">
      <c r="A730" s="81"/>
      <c r="B730" s="82"/>
      <c r="C730" s="84"/>
      <c r="D730" s="82"/>
      <c r="E730" s="82"/>
      <c r="F730" s="82"/>
      <c r="G730" s="82"/>
      <c r="H730" s="82"/>
      <c r="I730" s="83"/>
    </row>
    <row r="731" spans="1:9" x14ac:dyDescent="0.3">
      <c r="A731" s="81"/>
      <c r="B731" s="82"/>
      <c r="C731" s="84"/>
      <c r="D731" s="82"/>
      <c r="E731" s="82"/>
      <c r="F731" s="82"/>
      <c r="G731" s="82"/>
      <c r="H731" s="82"/>
      <c r="I731" s="83"/>
    </row>
    <row r="732" spans="1:9" x14ac:dyDescent="0.3">
      <c r="A732" s="81"/>
      <c r="B732" s="82"/>
      <c r="C732" s="84"/>
      <c r="D732" s="82"/>
      <c r="E732" s="82"/>
      <c r="F732" s="82"/>
      <c r="G732" s="82"/>
      <c r="H732" s="82"/>
      <c r="I732" s="83"/>
    </row>
    <row r="733" spans="1:9" x14ac:dyDescent="0.3">
      <c r="A733" s="81"/>
      <c r="B733" s="82"/>
      <c r="C733" s="84"/>
      <c r="D733" s="82"/>
      <c r="E733" s="82"/>
      <c r="F733" s="82"/>
      <c r="G733" s="82"/>
      <c r="H733" s="82"/>
      <c r="I733" s="83"/>
    </row>
    <row r="734" spans="1:9" x14ac:dyDescent="0.3">
      <c r="A734" s="81"/>
      <c r="B734" s="82"/>
      <c r="C734" s="84"/>
      <c r="D734" s="82"/>
      <c r="E734" s="82"/>
      <c r="F734" s="82"/>
      <c r="G734" s="82"/>
      <c r="H734" s="82"/>
      <c r="I734" s="83"/>
    </row>
    <row r="735" spans="1:9" x14ac:dyDescent="0.3">
      <c r="A735" s="81"/>
      <c r="B735" s="82"/>
      <c r="C735" s="84"/>
      <c r="D735" s="82"/>
      <c r="E735" s="82"/>
      <c r="F735" s="82"/>
      <c r="G735" s="82"/>
      <c r="H735" s="82"/>
      <c r="I735" s="83"/>
    </row>
    <row r="736" spans="1:9" x14ac:dyDescent="0.3">
      <c r="A736" s="81"/>
      <c r="B736" s="82"/>
      <c r="C736" s="84"/>
      <c r="D736" s="82"/>
      <c r="E736" s="82"/>
      <c r="F736" s="82"/>
      <c r="G736" s="82"/>
      <c r="H736" s="82"/>
      <c r="I736" s="83"/>
    </row>
    <row r="737" spans="1:9" x14ac:dyDescent="0.3">
      <c r="A737" s="81"/>
      <c r="B737" s="82"/>
      <c r="C737" s="84"/>
      <c r="D737" s="82"/>
      <c r="E737" s="82"/>
      <c r="F737" s="82"/>
      <c r="G737" s="82"/>
      <c r="H737" s="82"/>
      <c r="I737" s="83"/>
    </row>
    <row r="738" spans="1:9" x14ac:dyDescent="0.3">
      <c r="A738" s="81"/>
      <c r="B738" s="82"/>
      <c r="C738" s="84"/>
      <c r="D738" s="82"/>
      <c r="E738" s="82"/>
      <c r="F738" s="82"/>
      <c r="G738" s="82"/>
      <c r="H738" s="82"/>
      <c r="I738" s="83"/>
    </row>
    <row r="739" spans="1:9" x14ac:dyDescent="0.3">
      <c r="A739" s="81"/>
      <c r="B739" s="82"/>
      <c r="C739" s="84"/>
      <c r="D739" s="82"/>
      <c r="E739" s="82"/>
      <c r="F739" s="82"/>
      <c r="G739" s="82"/>
      <c r="H739" s="82"/>
      <c r="I739" s="83"/>
    </row>
    <row r="740" spans="1:9" x14ac:dyDescent="0.3">
      <c r="A740" s="81"/>
      <c r="B740" s="82"/>
      <c r="C740" s="84"/>
      <c r="D740" s="82"/>
      <c r="E740" s="82"/>
      <c r="F740" s="82"/>
      <c r="G740" s="82"/>
      <c r="H740" s="82"/>
      <c r="I740" s="83"/>
    </row>
    <row r="741" spans="1:9" x14ac:dyDescent="0.3">
      <c r="A741" s="81"/>
      <c r="B741" s="82"/>
      <c r="C741" s="84"/>
      <c r="D741" s="82"/>
      <c r="E741" s="82"/>
      <c r="F741" s="82"/>
      <c r="G741" s="82"/>
      <c r="H741" s="82"/>
      <c r="I741" s="83"/>
    </row>
    <row r="742" spans="1:9" x14ac:dyDescent="0.3">
      <c r="A742" s="81"/>
      <c r="B742" s="82"/>
      <c r="C742" s="84"/>
      <c r="D742" s="82"/>
      <c r="E742" s="82"/>
      <c r="F742" s="82"/>
      <c r="G742" s="82"/>
      <c r="H742" s="82"/>
      <c r="I742" s="83"/>
    </row>
    <row r="743" spans="1:9" x14ac:dyDescent="0.3">
      <c r="A743" s="81"/>
      <c r="B743" s="82"/>
      <c r="C743" s="84"/>
      <c r="D743" s="82"/>
      <c r="E743" s="82"/>
      <c r="F743" s="82"/>
      <c r="G743" s="82"/>
      <c r="H743" s="82"/>
      <c r="I743" s="83"/>
    </row>
    <row r="744" spans="1:9" x14ac:dyDescent="0.3">
      <c r="A744" s="81"/>
      <c r="B744" s="82"/>
      <c r="C744" s="84"/>
      <c r="D744" s="82"/>
      <c r="E744" s="82"/>
      <c r="F744" s="82"/>
      <c r="G744" s="82"/>
      <c r="H744" s="82"/>
      <c r="I744" s="83"/>
    </row>
    <row r="745" spans="1:9" x14ac:dyDescent="0.3">
      <c r="A745" s="81"/>
      <c r="B745" s="82"/>
      <c r="C745" s="84"/>
      <c r="D745" s="82"/>
      <c r="E745" s="82"/>
      <c r="F745" s="82"/>
      <c r="G745" s="82"/>
      <c r="H745" s="82"/>
      <c r="I745" s="83"/>
    </row>
    <row r="746" spans="1:9" x14ac:dyDescent="0.3">
      <c r="A746" s="81"/>
      <c r="B746" s="82"/>
      <c r="C746" s="84"/>
      <c r="D746" s="82"/>
      <c r="E746" s="82"/>
      <c r="F746" s="82"/>
      <c r="G746" s="82"/>
      <c r="H746" s="82"/>
      <c r="I746" s="83"/>
    </row>
    <row r="747" spans="1:9" x14ac:dyDescent="0.3">
      <c r="A747" s="81"/>
      <c r="B747" s="82"/>
      <c r="C747" s="84"/>
      <c r="D747" s="82"/>
      <c r="E747" s="82"/>
      <c r="F747" s="82"/>
      <c r="G747" s="82"/>
      <c r="H747" s="82"/>
      <c r="I747" s="83"/>
    </row>
    <row r="748" spans="1:9" x14ac:dyDescent="0.3">
      <c r="A748" s="81"/>
      <c r="B748" s="82"/>
      <c r="C748" s="84"/>
      <c r="D748" s="82"/>
      <c r="E748" s="82"/>
      <c r="F748" s="82"/>
      <c r="G748" s="82"/>
      <c r="H748" s="82"/>
      <c r="I748" s="83"/>
    </row>
    <row r="749" spans="1:9" x14ac:dyDescent="0.3">
      <c r="A749" s="81"/>
      <c r="B749" s="82"/>
      <c r="C749" s="84"/>
      <c r="D749" s="82"/>
      <c r="E749" s="82"/>
      <c r="F749" s="82"/>
      <c r="G749" s="82"/>
      <c r="H749" s="82"/>
      <c r="I749" s="83"/>
    </row>
    <row r="750" spans="1:9" x14ac:dyDescent="0.3">
      <c r="A750" s="81"/>
      <c r="B750" s="82"/>
      <c r="C750" s="84"/>
      <c r="D750" s="82"/>
      <c r="E750" s="82"/>
      <c r="F750" s="82"/>
      <c r="G750" s="82"/>
      <c r="H750" s="82"/>
      <c r="I750" s="83"/>
    </row>
    <row r="751" spans="1:9" x14ac:dyDescent="0.3">
      <c r="A751" s="81"/>
      <c r="B751" s="82"/>
      <c r="C751" s="84"/>
      <c r="D751" s="82"/>
      <c r="E751" s="82"/>
      <c r="F751" s="82"/>
      <c r="G751" s="82"/>
      <c r="H751" s="82"/>
      <c r="I751" s="83"/>
    </row>
    <row r="752" spans="1:9" x14ac:dyDescent="0.3">
      <c r="A752" s="81"/>
      <c r="B752" s="82"/>
      <c r="C752" s="84"/>
      <c r="D752" s="82"/>
      <c r="E752" s="82"/>
      <c r="F752" s="82"/>
      <c r="G752" s="82"/>
      <c r="H752" s="82"/>
      <c r="I752" s="83"/>
    </row>
    <row r="753" spans="1:9" x14ac:dyDescent="0.3">
      <c r="A753" s="81"/>
      <c r="B753" s="82"/>
      <c r="C753" s="84"/>
      <c r="D753" s="82"/>
      <c r="E753" s="82"/>
      <c r="F753" s="82"/>
      <c r="G753" s="82"/>
      <c r="H753" s="82"/>
      <c r="I753" s="83"/>
    </row>
    <row r="754" spans="1:9" x14ac:dyDescent="0.3">
      <c r="A754" s="81"/>
      <c r="B754" s="82"/>
      <c r="C754" s="84"/>
      <c r="D754" s="82"/>
      <c r="E754" s="82"/>
      <c r="F754" s="82"/>
      <c r="G754" s="82"/>
      <c r="H754" s="82"/>
      <c r="I754" s="83"/>
    </row>
    <row r="755" spans="1:9" x14ac:dyDescent="0.3">
      <c r="A755" s="81"/>
      <c r="B755" s="82"/>
      <c r="C755" s="84"/>
      <c r="D755" s="82"/>
      <c r="E755" s="82"/>
      <c r="F755" s="82"/>
      <c r="G755" s="82"/>
      <c r="H755" s="82"/>
      <c r="I755" s="83"/>
    </row>
    <row r="756" spans="1:9" x14ac:dyDescent="0.3">
      <c r="A756" s="81"/>
      <c r="B756" s="82"/>
      <c r="C756" s="84"/>
      <c r="D756" s="82"/>
      <c r="E756" s="82"/>
      <c r="F756" s="82"/>
      <c r="G756" s="82"/>
      <c r="H756" s="82"/>
      <c r="I756" s="83"/>
    </row>
    <row r="757" spans="1:9" x14ac:dyDescent="0.3">
      <c r="A757" s="81"/>
      <c r="B757" s="82"/>
      <c r="C757" s="84"/>
      <c r="D757" s="82"/>
      <c r="E757" s="82"/>
      <c r="F757" s="82"/>
      <c r="G757" s="82"/>
      <c r="H757" s="82"/>
      <c r="I757" s="83"/>
    </row>
    <row r="758" spans="1:9" x14ac:dyDescent="0.3">
      <c r="A758" s="81"/>
      <c r="B758" s="82"/>
      <c r="C758" s="84"/>
      <c r="D758" s="82"/>
      <c r="E758" s="82"/>
      <c r="F758" s="82"/>
      <c r="G758" s="82"/>
      <c r="H758" s="82"/>
      <c r="I758" s="83"/>
    </row>
    <row r="759" spans="1:9" x14ac:dyDescent="0.3">
      <c r="A759" s="81"/>
      <c r="B759" s="82"/>
      <c r="C759" s="84"/>
      <c r="D759" s="82"/>
      <c r="E759" s="82"/>
      <c r="F759" s="82"/>
      <c r="G759" s="82"/>
      <c r="H759" s="82"/>
      <c r="I759" s="83"/>
    </row>
    <row r="760" spans="1:9" x14ac:dyDescent="0.3">
      <c r="A760" s="81"/>
      <c r="B760" s="82"/>
      <c r="C760" s="84"/>
      <c r="D760" s="82"/>
      <c r="E760" s="82"/>
      <c r="F760" s="82"/>
      <c r="G760" s="82"/>
      <c r="H760" s="82"/>
      <c r="I760" s="83"/>
    </row>
    <row r="761" spans="1:9" x14ac:dyDescent="0.3">
      <c r="A761" s="81"/>
      <c r="B761" s="82"/>
      <c r="C761" s="84"/>
      <c r="D761" s="82"/>
      <c r="E761" s="82"/>
      <c r="F761" s="82"/>
      <c r="G761" s="82"/>
      <c r="H761" s="82"/>
      <c r="I761" s="83"/>
    </row>
    <row r="762" spans="1:9" x14ac:dyDescent="0.3">
      <c r="A762" s="81"/>
      <c r="B762" s="82"/>
      <c r="C762" s="84"/>
      <c r="D762" s="82"/>
      <c r="E762" s="82"/>
      <c r="F762" s="82"/>
      <c r="G762" s="82"/>
      <c r="H762" s="82"/>
      <c r="I762" s="83"/>
    </row>
    <row r="763" spans="1:9" x14ac:dyDescent="0.3">
      <c r="A763" s="81"/>
      <c r="B763" s="82"/>
      <c r="C763" s="84"/>
      <c r="D763" s="82"/>
      <c r="E763" s="82"/>
      <c r="F763" s="82"/>
      <c r="G763" s="82"/>
      <c r="H763" s="82"/>
      <c r="I763" s="83"/>
    </row>
    <row r="764" spans="1:9" x14ac:dyDescent="0.3">
      <c r="A764" s="81"/>
      <c r="B764" s="82"/>
      <c r="C764" s="84"/>
      <c r="D764" s="82"/>
      <c r="E764" s="82"/>
      <c r="F764" s="82"/>
      <c r="G764" s="82"/>
      <c r="H764" s="82"/>
      <c r="I764" s="83"/>
    </row>
    <row r="765" spans="1:9" x14ac:dyDescent="0.3">
      <c r="A765" s="81"/>
      <c r="B765" s="82"/>
      <c r="C765" s="84"/>
      <c r="D765" s="82"/>
      <c r="E765" s="82"/>
      <c r="F765" s="82"/>
      <c r="G765" s="82"/>
      <c r="H765" s="82"/>
      <c r="I765" s="83"/>
    </row>
    <row r="766" spans="1:9" x14ac:dyDescent="0.3">
      <c r="A766" s="81"/>
      <c r="B766" s="82"/>
      <c r="C766" s="84"/>
      <c r="D766" s="82"/>
      <c r="E766" s="82"/>
      <c r="F766" s="82"/>
      <c r="G766" s="82"/>
      <c r="H766" s="82"/>
      <c r="I766" s="83"/>
    </row>
    <row r="767" spans="1:9" x14ac:dyDescent="0.3">
      <c r="A767" s="81"/>
      <c r="B767" s="82"/>
      <c r="C767" s="84"/>
      <c r="D767" s="82"/>
      <c r="E767" s="82"/>
      <c r="F767" s="82"/>
      <c r="G767" s="82"/>
      <c r="H767" s="82"/>
      <c r="I767" s="83"/>
    </row>
    <row r="768" spans="1:9" x14ac:dyDescent="0.3">
      <c r="A768" s="81"/>
      <c r="B768" s="82"/>
      <c r="C768" s="84"/>
      <c r="D768" s="82"/>
      <c r="E768" s="82"/>
      <c r="F768" s="82"/>
      <c r="G768" s="82"/>
      <c r="H768" s="82"/>
      <c r="I768" s="83"/>
    </row>
    <row r="769" spans="1:9" x14ac:dyDescent="0.3">
      <c r="A769" s="81"/>
      <c r="B769" s="82"/>
      <c r="C769" s="84"/>
      <c r="D769" s="82"/>
      <c r="E769" s="82"/>
      <c r="F769" s="82"/>
      <c r="G769" s="82"/>
      <c r="H769" s="82"/>
      <c r="I769" s="83"/>
    </row>
    <row r="770" spans="1:9" x14ac:dyDescent="0.3">
      <c r="A770" s="81"/>
      <c r="B770" s="82"/>
      <c r="C770" s="84"/>
      <c r="D770" s="82"/>
      <c r="E770" s="82"/>
      <c r="F770" s="82"/>
      <c r="G770" s="82"/>
      <c r="H770" s="82"/>
      <c r="I770" s="83"/>
    </row>
    <row r="771" spans="1:9" x14ac:dyDescent="0.3">
      <c r="A771" s="81"/>
      <c r="B771" s="82"/>
      <c r="C771" s="84"/>
      <c r="D771" s="82"/>
      <c r="E771" s="82"/>
      <c r="F771" s="82"/>
      <c r="G771" s="82"/>
      <c r="H771" s="82"/>
      <c r="I771" s="83"/>
    </row>
    <row r="772" spans="1:9" x14ac:dyDescent="0.3">
      <c r="A772" s="81"/>
      <c r="B772" s="82"/>
      <c r="C772" s="84"/>
      <c r="D772" s="82"/>
      <c r="E772" s="82"/>
      <c r="F772" s="82"/>
      <c r="G772" s="82"/>
      <c r="H772" s="82"/>
      <c r="I772" s="83"/>
    </row>
    <row r="773" spans="1:9" x14ac:dyDescent="0.3">
      <c r="A773" s="81"/>
      <c r="B773" s="82"/>
      <c r="C773" s="84"/>
      <c r="D773" s="82"/>
      <c r="E773" s="82"/>
      <c r="F773" s="82"/>
      <c r="G773" s="82"/>
      <c r="H773" s="82"/>
      <c r="I773" s="83"/>
    </row>
    <row r="774" spans="1:9" x14ac:dyDescent="0.3">
      <c r="A774" s="81"/>
      <c r="B774" s="82"/>
      <c r="C774" s="84"/>
      <c r="D774" s="82"/>
      <c r="E774" s="82"/>
      <c r="F774" s="82"/>
      <c r="G774" s="82"/>
      <c r="H774" s="82"/>
      <c r="I774" s="83"/>
    </row>
    <row r="775" spans="1:9" x14ac:dyDescent="0.3">
      <c r="A775" s="81"/>
      <c r="B775" s="82"/>
      <c r="C775" s="84"/>
      <c r="D775" s="82"/>
      <c r="E775" s="82"/>
      <c r="F775" s="82"/>
      <c r="G775" s="82"/>
      <c r="H775" s="82"/>
      <c r="I775" s="83"/>
    </row>
    <row r="776" spans="1:9" x14ac:dyDescent="0.3">
      <c r="A776" s="81"/>
      <c r="B776" s="82"/>
      <c r="C776" s="84"/>
      <c r="D776" s="82"/>
      <c r="E776" s="82"/>
      <c r="F776" s="82"/>
      <c r="G776" s="82"/>
      <c r="H776" s="82"/>
      <c r="I776" s="83"/>
    </row>
    <row r="777" spans="1:9" x14ac:dyDescent="0.3">
      <c r="A777" s="81"/>
      <c r="B777" s="82"/>
      <c r="C777" s="84"/>
      <c r="D777" s="82"/>
      <c r="E777" s="82"/>
      <c r="F777" s="82"/>
      <c r="G777" s="82"/>
      <c r="H777" s="82"/>
      <c r="I777" s="83"/>
    </row>
    <row r="778" spans="1:9" x14ac:dyDescent="0.3">
      <c r="A778" s="81"/>
      <c r="B778" s="82"/>
      <c r="C778" s="84"/>
      <c r="D778" s="82"/>
      <c r="E778" s="82"/>
      <c r="F778" s="82"/>
      <c r="G778" s="82"/>
      <c r="H778" s="82"/>
      <c r="I778" s="83"/>
    </row>
    <row r="779" spans="1:9" x14ac:dyDescent="0.3">
      <c r="A779" s="81"/>
      <c r="B779" s="82"/>
      <c r="C779" s="84"/>
      <c r="D779" s="82"/>
      <c r="E779" s="82"/>
      <c r="F779" s="82"/>
      <c r="G779" s="82"/>
      <c r="H779" s="82"/>
      <c r="I779" s="83"/>
    </row>
    <row r="780" spans="1:9" x14ac:dyDescent="0.3">
      <c r="A780" s="81"/>
      <c r="B780" s="82"/>
      <c r="C780" s="84"/>
      <c r="D780" s="82"/>
      <c r="E780" s="82"/>
      <c r="F780" s="82"/>
      <c r="G780" s="82"/>
      <c r="H780" s="82"/>
      <c r="I780" s="83"/>
    </row>
    <row r="781" spans="1:9" x14ac:dyDescent="0.3">
      <c r="A781" s="81"/>
      <c r="B781" s="82"/>
      <c r="C781" s="84"/>
      <c r="D781" s="82"/>
      <c r="E781" s="82"/>
      <c r="F781" s="82"/>
      <c r="G781" s="82"/>
      <c r="H781" s="82"/>
      <c r="I781" s="83"/>
    </row>
    <row r="782" spans="1:9" x14ac:dyDescent="0.3">
      <c r="A782" s="81"/>
      <c r="B782" s="82"/>
      <c r="C782" s="84"/>
      <c r="D782" s="82"/>
      <c r="E782" s="82"/>
      <c r="F782" s="82"/>
      <c r="G782" s="82"/>
      <c r="H782" s="82"/>
      <c r="I782" s="83"/>
    </row>
    <row r="783" spans="1:9" x14ac:dyDescent="0.3">
      <c r="A783" s="81"/>
      <c r="B783" s="82"/>
      <c r="C783" s="84"/>
      <c r="D783" s="82"/>
      <c r="E783" s="82"/>
      <c r="F783" s="82"/>
      <c r="G783" s="82"/>
      <c r="H783" s="82"/>
      <c r="I783" s="83"/>
    </row>
    <row r="784" spans="1:9" x14ac:dyDescent="0.3">
      <c r="A784" s="81"/>
      <c r="B784" s="82"/>
      <c r="C784" s="84"/>
      <c r="D784" s="82"/>
      <c r="E784" s="82"/>
      <c r="F784" s="82"/>
      <c r="G784" s="82"/>
      <c r="H784" s="82"/>
      <c r="I784" s="83"/>
    </row>
    <row r="785" spans="1:9" x14ac:dyDescent="0.3">
      <c r="A785" s="81"/>
      <c r="B785" s="82"/>
      <c r="C785" s="84"/>
      <c r="D785" s="82"/>
      <c r="E785" s="82"/>
      <c r="F785" s="82"/>
      <c r="G785" s="82"/>
      <c r="H785" s="82"/>
      <c r="I785" s="83"/>
    </row>
    <row r="786" spans="1:9" x14ac:dyDescent="0.3">
      <c r="A786" s="81"/>
      <c r="B786" s="82"/>
      <c r="C786" s="84"/>
      <c r="D786" s="82"/>
      <c r="E786" s="82"/>
      <c r="F786" s="82"/>
      <c r="G786" s="82"/>
      <c r="H786" s="82"/>
      <c r="I786" s="83"/>
    </row>
    <row r="787" spans="1:9" x14ac:dyDescent="0.3">
      <c r="A787" s="81"/>
      <c r="B787" s="82"/>
      <c r="C787" s="84"/>
      <c r="D787" s="82"/>
      <c r="E787" s="82"/>
      <c r="F787" s="82"/>
      <c r="G787" s="82"/>
      <c r="H787" s="82"/>
      <c r="I787" s="83"/>
    </row>
    <row r="788" spans="1:9" x14ac:dyDescent="0.3">
      <c r="A788" s="81"/>
      <c r="B788" s="82"/>
      <c r="C788" s="84"/>
      <c r="D788" s="82"/>
      <c r="E788" s="82"/>
      <c r="F788" s="82"/>
      <c r="G788" s="82"/>
      <c r="H788" s="82"/>
      <c r="I788" s="83"/>
    </row>
    <row r="789" spans="1:9" x14ac:dyDescent="0.3">
      <c r="A789" s="81"/>
      <c r="B789" s="82"/>
      <c r="C789" s="84"/>
      <c r="D789" s="82"/>
      <c r="E789" s="82"/>
      <c r="F789" s="82"/>
      <c r="G789" s="82"/>
      <c r="H789" s="82"/>
      <c r="I789" s="83"/>
    </row>
    <row r="790" spans="1:9" x14ac:dyDescent="0.3">
      <c r="A790" s="81"/>
      <c r="B790" s="82"/>
      <c r="C790" s="84"/>
      <c r="D790" s="82"/>
      <c r="E790" s="82"/>
      <c r="F790" s="82"/>
      <c r="G790" s="82"/>
      <c r="H790" s="82"/>
      <c r="I790" s="83"/>
    </row>
    <row r="791" spans="1:9" x14ac:dyDescent="0.3">
      <c r="A791" s="81"/>
      <c r="B791" s="82"/>
      <c r="C791" s="84"/>
      <c r="D791" s="82"/>
      <c r="E791" s="82"/>
      <c r="F791" s="82"/>
      <c r="G791" s="82"/>
      <c r="H791" s="82"/>
      <c r="I791" s="83"/>
    </row>
    <row r="792" spans="1:9" x14ac:dyDescent="0.3">
      <c r="A792" s="81"/>
      <c r="B792" s="82"/>
      <c r="C792" s="84"/>
      <c r="D792" s="82"/>
      <c r="E792" s="82"/>
      <c r="F792" s="82"/>
      <c r="G792" s="82"/>
      <c r="H792" s="82"/>
      <c r="I792" s="83"/>
    </row>
    <row r="793" spans="1:9" x14ac:dyDescent="0.3">
      <c r="A793" s="81"/>
      <c r="B793" s="82"/>
      <c r="C793" s="84"/>
      <c r="D793" s="82"/>
      <c r="E793" s="82"/>
      <c r="F793" s="82"/>
      <c r="G793" s="82"/>
      <c r="H793" s="82"/>
      <c r="I793" s="83"/>
    </row>
    <row r="794" spans="1:9" x14ac:dyDescent="0.3">
      <c r="A794" s="81"/>
      <c r="B794" s="82"/>
      <c r="C794" s="84"/>
      <c r="D794" s="82"/>
      <c r="E794" s="82"/>
      <c r="F794" s="82"/>
      <c r="G794" s="82"/>
      <c r="H794" s="82"/>
      <c r="I794" s="83"/>
    </row>
    <row r="795" spans="1:9" x14ac:dyDescent="0.3">
      <c r="A795" s="81"/>
      <c r="B795" s="82"/>
      <c r="C795" s="84"/>
      <c r="D795" s="82"/>
      <c r="E795" s="82"/>
      <c r="F795" s="82"/>
      <c r="G795" s="82"/>
      <c r="H795" s="82"/>
      <c r="I795" s="83"/>
    </row>
    <row r="796" spans="1:9" x14ac:dyDescent="0.3">
      <c r="A796" s="81"/>
      <c r="B796" s="82"/>
      <c r="C796" s="84"/>
      <c r="D796" s="82"/>
      <c r="E796" s="82"/>
      <c r="F796" s="82"/>
      <c r="G796" s="82"/>
      <c r="H796" s="82"/>
      <c r="I796" s="83"/>
    </row>
    <row r="797" spans="1:9" x14ac:dyDescent="0.3">
      <c r="A797" s="81"/>
      <c r="B797" s="82"/>
      <c r="C797" s="84"/>
      <c r="D797" s="82"/>
      <c r="E797" s="82"/>
      <c r="F797" s="82"/>
      <c r="G797" s="82"/>
      <c r="H797" s="82"/>
      <c r="I797" s="83"/>
    </row>
    <row r="798" spans="1:9" x14ac:dyDescent="0.3">
      <c r="A798" s="81"/>
      <c r="B798" s="82"/>
      <c r="C798" s="84"/>
      <c r="D798" s="82"/>
      <c r="E798" s="82"/>
      <c r="F798" s="82"/>
      <c r="G798" s="82"/>
      <c r="H798" s="82"/>
      <c r="I798" s="83"/>
    </row>
    <row r="799" spans="1:9" x14ac:dyDescent="0.3">
      <c r="A799" s="81"/>
      <c r="B799" s="82"/>
      <c r="C799" s="84"/>
      <c r="D799" s="82"/>
      <c r="E799" s="82"/>
      <c r="F799" s="82"/>
      <c r="G799" s="82"/>
      <c r="H799" s="82"/>
      <c r="I799" s="83"/>
    </row>
    <row r="800" spans="1:9" x14ac:dyDescent="0.3">
      <c r="A800" s="81"/>
      <c r="B800" s="82"/>
      <c r="C800" s="84"/>
      <c r="D800" s="82"/>
      <c r="E800" s="82"/>
      <c r="F800" s="82"/>
      <c r="G800" s="82"/>
      <c r="H800" s="82"/>
      <c r="I800" s="83"/>
    </row>
    <row r="801" spans="1:9" x14ac:dyDescent="0.3">
      <c r="A801" s="81"/>
      <c r="B801" s="82"/>
      <c r="C801" s="84"/>
      <c r="D801" s="82"/>
      <c r="E801" s="82"/>
      <c r="F801" s="82"/>
      <c r="G801" s="82"/>
      <c r="H801" s="82"/>
      <c r="I801" s="83"/>
    </row>
    <row r="802" spans="1:9" x14ac:dyDescent="0.3">
      <c r="A802" s="81"/>
      <c r="B802" s="82"/>
      <c r="C802" s="84"/>
      <c r="D802" s="82"/>
      <c r="E802" s="82"/>
      <c r="F802" s="82"/>
      <c r="G802" s="82"/>
      <c r="H802" s="82"/>
      <c r="I802" s="83"/>
    </row>
    <row r="803" spans="1:9" x14ac:dyDescent="0.3">
      <c r="A803" s="81"/>
      <c r="B803" s="82"/>
      <c r="C803" s="84"/>
      <c r="D803" s="82"/>
      <c r="E803" s="82"/>
      <c r="F803" s="82"/>
      <c r="G803" s="82"/>
      <c r="H803" s="82"/>
      <c r="I803" s="83"/>
    </row>
    <row r="804" spans="1:9" x14ac:dyDescent="0.3">
      <c r="A804" s="81"/>
      <c r="B804" s="82"/>
      <c r="C804" s="84"/>
      <c r="D804" s="82"/>
      <c r="E804" s="82"/>
      <c r="F804" s="82"/>
      <c r="G804" s="82"/>
      <c r="H804" s="82"/>
      <c r="I804" s="83"/>
    </row>
    <row r="805" spans="1:9" x14ac:dyDescent="0.3">
      <c r="A805" s="81"/>
      <c r="B805" s="82"/>
      <c r="C805" s="84"/>
      <c r="D805" s="82"/>
      <c r="E805" s="82"/>
      <c r="F805" s="82"/>
      <c r="G805" s="82"/>
      <c r="H805" s="82"/>
      <c r="I805" s="83"/>
    </row>
    <row r="806" spans="1:9" x14ac:dyDescent="0.3">
      <c r="A806" s="81"/>
      <c r="B806" s="82"/>
      <c r="C806" s="84"/>
      <c r="D806" s="82"/>
      <c r="E806" s="82"/>
      <c r="F806" s="82"/>
      <c r="G806" s="82"/>
      <c r="H806" s="82"/>
      <c r="I806" s="83"/>
    </row>
    <row r="807" spans="1:9" x14ac:dyDescent="0.3">
      <c r="A807" s="81"/>
      <c r="B807" s="82"/>
      <c r="C807" s="84"/>
      <c r="D807" s="82"/>
      <c r="E807" s="82"/>
      <c r="F807" s="82"/>
      <c r="G807" s="82"/>
      <c r="H807" s="82"/>
      <c r="I807" s="83"/>
    </row>
    <row r="808" spans="1:9" x14ac:dyDescent="0.3">
      <c r="A808" s="81"/>
      <c r="B808" s="82"/>
      <c r="C808" s="84"/>
      <c r="D808" s="82"/>
      <c r="E808" s="82"/>
      <c r="F808" s="82"/>
      <c r="G808" s="82"/>
      <c r="H808" s="82"/>
      <c r="I808" s="83"/>
    </row>
    <row r="809" spans="1:9" x14ac:dyDescent="0.3">
      <c r="A809" s="81"/>
      <c r="B809" s="82"/>
      <c r="C809" s="84"/>
      <c r="D809" s="82"/>
      <c r="E809" s="82"/>
      <c r="F809" s="82"/>
      <c r="G809" s="82"/>
      <c r="H809" s="82"/>
      <c r="I809" s="83"/>
    </row>
    <row r="810" spans="1:9" x14ac:dyDescent="0.3">
      <c r="A810" s="81"/>
      <c r="B810" s="82"/>
      <c r="C810" s="84"/>
      <c r="D810" s="82"/>
      <c r="E810" s="82"/>
      <c r="F810" s="82"/>
      <c r="G810" s="82"/>
      <c r="H810" s="82"/>
      <c r="I810" s="83"/>
    </row>
    <row r="811" spans="1:9" x14ac:dyDescent="0.3">
      <c r="A811" s="81"/>
      <c r="B811" s="82"/>
      <c r="C811" s="84"/>
      <c r="D811" s="82"/>
      <c r="E811" s="82"/>
      <c r="F811" s="82"/>
      <c r="G811" s="82"/>
      <c r="H811" s="82"/>
      <c r="I811" s="83"/>
    </row>
    <row r="812" spans="1:9" x14ac:dyDescent="0.3">
      <c r="A812" s="81"/>
      <c r="B812" s="82"/>
      <c r="C812" s="84"/>
      <c r="D812" s="82"/>
      <c r="E812" s="82"/>
      <c r="F812" s="82"/>
      <c r="G812" s="82"/>
      <c r="H812" s="82"/>
      <c r="I812" s="83"/>
    </row>
    <row r="813" spans="1:9" x14ac:dyDescent="0.3">
      <c r="A813" s="81"/>
      <c r="B813" s="82"/>
      <c r="C813" s="84"/>
      <c r="D813" s="82"/>
      <c r="E813" s="82"/>
      <c r="F813" s="82"/>
      <c r="G813" s="82"/>
      <c r="H813" s="82"/>
      <c r="I813" s="83"/>
    </row>
    <row r="814" spans="1:9" x14ac:dyDescent="0.3">
      <c r="A814" s="81"/>
      <c r="B814" s="82"/>
      <c r="C814" s="84"/>
      <c r="D814" s="82"/>
      <c r="E814" s="82"/>
      <c r="F814" s="82"/>
      <c r="G814" s="82"/>
      <c r="H814" s="82"/>
      <c r="I814" s="83"/>
    </row>
    <row r="815" spans="1:9" x14ac:dyDescent="0.3">
      <c r="A815" s="81"/>
      <c r="B815" s="82"/>
      <c r="C815" s="84"/>
      <c r="D815" s="82"/>
      <c r="E815" s="82"/>
      <c r="F815" s="82"/>
      <c r="G815" s="82"/>
      <c r="H815" s="82"/>
      <c r="I815" s="83"/>
    </row>
    <row r="816" spans="1:9" x14ac:dyDescent="0.3">
      <c r="A816" s="81"/>
      <c r="B816" s="82"/>
      <c r="C816" s="84"/>
      <c r="D816" s="82"/>
      <c r="E816" s="82"/>
      <c r="F816" s="82"/>
      <c r="G816" s="82"/>
      <c r="H816" s="82"/>
      <c r="I816" s="83"/>
    </row>
    <row r="817" spans="1:9" x14ac:dyDescent="0.3">
      <c r="A817" s="81"/>
      <c r="B817" s="82"/>
      <c r="C817" s="84"/>
      <c r="D817" s="82"/>
      <c r="E817" s="82"/>
      <c r="F817" s="82"/>
      <c r="G817" s="82"/>
      <c r="H817" s="82"/>
      <c r="I817" s="83"/>
    </row>
    <row r="818" spans="1:9" x14ac:dyDescent="0.3">
      <c r="A818" s="81"/>
      <c r="B818" s="82"/>
      <c r="C818" s="84"/>
      <c r="D818" s="82"/>
      <c r="E818" s="82"/>
      <c r="F818" s="82"/>
      <c r="G818" s="82"/>
      <c r="H818" s="82"/>
      <c r="I818" s="83"/>
    </row>
    <row r="819" spans="1:9" x14ac:dyDescent="0.3">
      <c r="A819" s="81"/>
      <c r="B819" s="82"/>
      <c r="C819" s="84"/>
      <c r="D819" s="82"/>
      <c r="E819" s="82"/>
      <c r="F819" s="82"/>
      <c r="G819" s="82"/>
      <c r="H819" s="82"/>
      <c r="I819" s="83"/>
    </row>
    <row r="820" spans="1:9" x14ac:dyDescent="0.3">
      <c r="A820" s="81"/>
      <c r="B820" s="82"/>
      <c r="C820" s="84"/>
      <c r="D820" s="82"/>
      <c r="E820" s="82"/>
      <c r="F820" s="82"/>
      <c r="G820" s="82"/>
      <c r="H820" s="82"/>
      <c r="I820" s="83"/>
    </row>
    <row r="821" spans="1:9" x14ac:dyDescent="0.3">
      <c r="A821" s="81"/>
      <c r="B821" s="82"/>
      <c r="C821" s="84"/>
      <c r="D821" s="82"/>
      <c r="E821" s="82"/>
      <c r="F821" s="82"/>
      <c r="G821" s="82"/>
      <c r="H821" s="82"/>
      <c r="I821" s="83"/>
    </row>
    <row r="822" spans="1:9" x14ac:dyDescent="0.3">
      <c r="A822" s="81"/>
      <c r="B822" s="82"/>
      <c r="C822" s="84"/>
      <c r="D822" s="82"/>
      <c r="E822" s="82"/>
      <c r="F822" s="82"/>
      <c r="G822" s="82"/>
      <c r="H822" s="82"/>
      <c r="I822" s="83"/>
    </row>
    <row r="823" spans="1:9" x14ac:dyDescent="0.3">
      <c r="A823" s="81"/>
      <c r="B823" s="82"/>
      <c r="C823" s="84"/>
      <c r="D823" s="82"/>
      <c r="E823" s="82"/>
      <c r="F823" s="82"/>
      <c r="G823" s="82"/>
      <c r="H823" s="82"/>
      <c r="I823" s="83"/>
    </row>
    <row r="824" spans="1:9" x14ac:dyDescent="0.3">
      <c r="A824" s="81"/>
      <c r="B824" s="82"/>
      <c r="C824" s="84"/>
      <c r="D824" s="82"/>
      <c r="E824" s="82"/>
      <c r="F824" s="82"/>
      <c r="G824" s="82"/>
      <c r="H824" s="82"/>
      <c r="I824" s="83"/>
    </row>
    <row r="825" spans="1:9" x14ac:dyDescent="0.3">
      <c r="A825" s="81"/>
      <c r="B825" s="82"/>
      <c r="C825" s="84"/>
      <c r="D825" s="82"/>
      <c r="E825" s="82"/>
      <c r="F825" s="82"/>
      <c r="G825" s="82"/>
      <c r="H825" s="82"/>
      <c r="I825" s="83"/>
    </row>
    <row r="826" spans="1:9" x14ac:dyDescent="0.3">
      <c r="A826" s="81"/>
      <c r="B826" s="82"/>
      <c r="C826" s="84"/>
      <c r="D826" s="82"/>
      <c r="E826" s="82"/>
      <c r="F826" s="82"/>
      <c r="G826" s="82"/>
      <c r="H826" s="82"/>
      <c r="I826" s="83"/>
    </row>
    <row r="827" spans="1:9" x14ac:dyDescent="0.3">
      <c r="A827" s="81"/>
      <c r="B827" s="82"/>
      <c r="C827" s="84"/>
      <c r="D827" s="82"/>
      <c r="E827" s="82"/>
      <c r="F827" s="82"/>
      <c r="G827" s="82"/>
      <c r="H827" s="82"/>
      <c r="I827" s="83"/>
    </row>
    <row r="828" spans="1:9" x14ac:dyDescent="0.3">
      <c r="A828" s="81"/>
      <c r="B828" s="82"/>
      <c r="C828" s="84"/>
      <c r="D828" s="82"/>
      <c r="E828" s="82"/>
      <c r="F828" s="82"/>
      <c r="G828" s="82"/>
      <c r="H828" s="82"/>
      <c r="I828" s="83"/>
    </row>
    <row r="829" spans="1:9" x14ac:dyDescent="0.3">
      <c r="A829" s="81"/>
      <c r="B829" s="82"/>
      <c r="C829" s="84"/>
      <c r="D829" s="82"/>
      <c r="E829" s="82"/>
      <c r="F829" s="82"/>
      <c r="G829" s="82"/>
      <c r="H829" s="82"/>
      <c r="I829" s="83"/>
    </row>
    <row r="830" spans="1:9" x14ac:dyDescent="0.3">
      <c r="A830" s="81"/>
      <c r="B830" s="82"/>
      <c r="C830" s="84"/>
      <c r="D830" s="82"/>
      <c r="E830" s="82"/>
      <c r="F830" s="82"/>
      <c r="G830" s="82"/>
      <c r="H830" s="82"/>
      <c r="I830" s="83"/>
    </row>
    <row r="831" spans="1:9" x14ac:dyDescent="0.3">
      <c r="A831" s="81"/>
      <c r="B831" s="82"/>
      <c r="C831" s="84"/>
      <c r="D831" s="82"/>
      <c r="E831" s="82"/>
      <c r="F831" s="82"/>
      <c r="G831" s="82"/>
      <c r="H831" s="82"/>
      <c r="I831" s="83"/>
    </row>
    <row r="832" spans="1:9" x14ac:dyDescent="0.3">
      <c r="A832" s="81"/>
      <c r="B832" s="82"/>
      <c r="C832" s="84"/>
      <c r="D832" s="82"/>
      <c r="E832" s="82"/>
      <c r="F832" s="82"/>
      <c r="G832" s="82"/>
      <c r="H832" s="82"/>
      <c r="I832" s="83"/>
    </row>
    <row r="833" spans="1:9" x14ac:dyDescent="0.3">
      <c r="A833" s="81"/>
      <c r="B833" s="82"/>
      <c r="C833" s="84"/>
      <c r="D833" s="82"/>
      <c r="E833" s="82"/>
      <c r="F833" s="82"/>
      <c r="G833" s="82"/>
      <c r="H833" s="82"/>
      <c r="I833" s="83"/>
    </row>
    <row r="834" spans="1:9" x14ac:dyDescent="0.3">
      <c r="A834" s="81"/>
      <c r="B834" s="82"/>
      <c r="C834" s="84"/>
      <c r="D834" s="82"/>
      <c r="E834" s="82"/>
      <c r="F834" s="82"/>
      <c r="G834" s="82"/>
      <c r="H834" s="82"/>
      <c r="I834" s="83"/>
    </row>
    <row r="835" spans="1:9" x14ac:dyDescent="0.3">
      <c r="A835" s="81"/>
      <c r="B835" s="82"/>
      <c r="C835" s="84"/>
      <c r="D835" s="82"/>
      <c r="E835" s="82"/>
      <c r="F835" s="82"/>
      <c r="G835" s="82"/>
      <c r="H835" s="82"/>
      <c r="I835" s="83"/>
    </row>
    <row r="836" spans="1:9" x14ac:dyDescent="0.3">
      <c r="A836" s="81"/>
      <c r="B836" s="82"/>
      <c r="C836" s="84"/>
      <c r="D836" s="82"/>
      <c r="E836" s="82"/>
      <c r="F836" s="82"/>
      <c r="G836" s="82"/>
      <c r="H836" s="82"/>
      <c r="I836" s="83"/>
    </row>
    <row r="837" spans="1:9" x14ac:dyDescent="0.3">
      <c r="A837" s="81"/>
      <c r="B837" s="82"/>
      <c r="C837" s="84"/>
      <c r="D837" s="82"/>
      <c r="E837" s="82"/>
      <c r="F837" s="82"/>
      <c r="G837" s="82"/>
      <c r="H837" s="82"/>
      <c r="I837" s="83"/>
    </row>
    <row r="838" spans="1:9" x14ac:dyDescent="0.3">
      <c r="A838" s="81"/>
      <c r="B838" s="82"/>
      <c r="C838" s="84"/>
      <c r="D838" s="82"/>
      <c r="E838" s="82"/>
      <c r="F838" s="82"/>
      <c r="G838" s="82"/>
      <c r="H838" s="82"/>
      <c r="I838" s="83"/>
    </row>
    <row r="839" spans="1:9" x14ac:dyDescent="0.3">
      <c r="A839" s="81"/>
      <c r="B839" s="82"/>
      <c r="C839" s="84"/>
      <c r="D839" s="82"/>
      <c r="E839" s="82"/>
      <c r="F839" s="82"/>
      <c r="G839" s="82"/>
      <c r="H839" s="82"/>
      <c r="I839" s="83"/>
    </row>
    <row r="840" spans="1:9" x14ac:dyDescent="0.3">
      <c r="A840" s="81"/>
      <c r="B840" s="82"/>
      <c r="C840" s="84"/>
      <c r="D840" s="82"/>
      <c r="E840" s="82"/>
      <c r="F840" s="82"/>
      <c r="G840" s="82"/>
      <c r="H840" s="82"/>
      <c r="I840" s="83"/>
    </row>
    <row r="841" spans="1:9" x14ac:dyDescent="0.3">
      <c r="A841" s="81"/>
      <c r="B841" s="82"/>
      <c r="C841" s="84"/>
      <c r="D841" s="82"/>
      <c r="E841" s="82"/>
      <c r="F841" s="82"/>
      <c r="G841" s="82"/>
      <c r="H841" s="82"/>
      <c r="I841" s="83"/>
    </row>
    <row r="842" spans="1:9" x14ac:dyDescent="0.3">
      <c r="A842" s="81"/>
      <c r="B842" s="82"/>
      <c r="C842" s="84"/>
      <c r="D842" s="82"/>
      <c r="E842" s="82"/>
      <c r="F842" s="82"/>
      <c r="G842" s="82"/>
      <c r="H842" s="82"/>
      <c r="I842" s="83"/>
    </row>
    <row r="843" spans="1:9" x14ac:dyDescent="0.3">
      <c r="A843" s="81"/>
      <c r="B843" s="82"/>
      <c r="C843" s="84"/>
      <c r="D843" s="82"/>
      <c r="E843" s="82"/>
      <c r="F843" s="82"/>
      <c r="G843" s="82"/>
      <c r="H843" s="82"/>
      <c r="I843" s="83"/>
    </row>
    <row r="844" spans="1:9" x14ac:dyDescent="0.3">
      <c r="A844" s="81"/>
      <c r="B844" s="82"/>
      <c r="C844" s="84"/>
      <c r="D844" s="82"/>
      <c r="E844" s="82"/>
      <c r="F844" s="82"/>
      <c r="G844" s="82"/>
      <c r="H844" s="82"/>
      <c r="I844" s="83"/>
    </row>
    <row r="845" spans="1:9" x14ac:dyDescent="0.3">
      <c r="A845" s="81"/>
      <c r="B845" s="82"/>
      <c r="C845" s="84"/>
      <c r="D845" s="82"/>
      <c r="E845" s="82"/>
      <c r="F845" s="82"/>
      <c r="G845" s="82"/>
      <c r="H845" s="82"/>
      <c r="I845" s="83"/>
    </row>
    <row r="846" spans="1:9" x14ac:dyDescent="0.3">
      <c r="A846" s="81"/>
      <c r="B846" s="82"/>
      <c r="C846" s="84"/>
      <c r="D846" s="82"/>
      <c r="E846" s="82"/>
      <c r="F846" s="82"/>
      <c r="G846" s="82"/>
      <c r="H846" s="82"/>
      <c r="I846" s="83"/>
    </row>
    <row r="847" spans="1:9" x14ac:dyDescent="0.3">
      <c r="A847" s="81"/>
      <c r="B847" s="82"/>
      <c r="C847" s="84"/>
      <c r="D847" s="82"/>
      <c r="E847" s="82"/>
      <c r="F847" s="82"/>
      <c r="G847" s="82"/>
      <c r="H847" s="82"/>
      <c r="I847" s="83"/>
    </row>
    <row r="848" spans="1:9" x14ac:dyDescent="0.3">
      <c r="A848" s="81"/>
      <c r="B848" s="82"/>
      <c r="C848" s="84"/>
      <c r="D848" s="82"/>
      <c r="E848" s="82"/>
      <c r="F848" s="82"/>
      <c r="G848" s="82"/>
      <c r="H848" s="82"/>
      <c r="I848" s="83"/>
    </row>
    <row r="849" spans="1:9" x14ac:dyDescent="0.3">
      <c r="A849" s="81"/>
      <c r="B849" s="82"/>
      <c r="C849" s="84"/>
      <c r="D849" s="82"/>
      <c r="E849" s="82"/>
      <c r="F849" s="82"/>
      <c r="G849" s="82"/>
      <c r="H849" s="82"/>
      <c r="I849" s="83"/>
    </row>
    <row r="850" spans="1:9" x14ac:dyDescent="0.3">
      <c r="A850" s="81"/>
      <c r="B850" s="82"/>
      <c r="C850" s="84"/>
      <c r="D850" s="82"/>
      <c r="E850" s="82"/>
      <c r="F850" s="82"/>
      <c r="G850" s="82"/>
      <c r="H850" s="82"/>
      <c r="I850" s="83"/>
    </row>
    <row r="851" spans="1:9" x14ac:dyDescent="0.3">
      <c r="A851" s="81"/>
      <c r="B851" s="82"/>
      <c r="C851" s="84"/>
      <c r="D851" s="82"/>
      <c r="E851" s="82"/>
      <c r="F851" s="82"/>
      <c r="G851" s="82"/>
      <c r="H851" s="82"/>
      <c r="I851" s="83"/>
    </row>
    <row r="852" spans="1:9" x14ac:dyDescent="0.3">
      <c r="A852" s="81"/>
      <c r="B852" s="82"/>
      <c r="C852" s="84"/>
      <c r="D852" s="82"/>
      <c r="E852" s="82"/>
      <c r="F852" s="82"/>
      <c r="G852" s="82"/>
      <c r="H852" s="82"/>
      <c r="I852" s="83"/>
    </row>
    <row r="853" spans="1:9" x14ac:dyDescent="0.3">
      <c r="A853" s="81"/>
      <c r="B853" s="82"/>
      <c r="C853" s="84"/>
      <c r="D853" s="82"/>
      <c r="E853" s="82"/>
      <c r="F853" s="82"/>
      <c r="G853" s="82"/>
      <c r="H853" s="82"/>
      <c r="I853" s="83"/>
    </row>
    <row r="854" spans="1:9" x14ac:dyDescent="0.3">
      <c r="A854" s="81"/>
      <c r="B854" s="82"/>
      <c r="C854" s="84"/>
      <c r="D854" s="82"/>
      <c r="E854" s="82"/>
      <c r="F854" s="82"/>
      <c r="G854" s="82"/>
      <c r="H854" s="82"/>
      <c r="I854" s="83"/>
    </row>
    <row r="855" spans="1:9" x14ac:dyDescent="0.3">
      <c r="A855" s="81"/>
      <c r="B855" s="82"/>
      <c r="C855" s="84"/>
      <c r="D855" s="82"/>
      <c r="E855" s="82"/>
      <c r="F855" s="82"/>
      <c r="G855" s="82"/>
      <c r="H855" s="82"/>
      <c r="I855" s="83"/>
    </row>
    <row r="856" spans="1:9" x14ac:dyDescent="0.3">
      <c r="A856" s="81"/>
      <c r="B856" s="82"/>
      <c r="C856" s="84"/>
      <c r="D856" s="82"/>
      <c r="E856" s="82"/>
      <c r="F856" s="82"/>
      <c r="G856" s="82"/>
      <c r="H856" s="82"/>
      <c r="I856" s="83"/>
    </row>
    <row r="857" spans="1:9" x14ac:dyDescent="0.3">
      <c r="A857" s="81"/>
      <c r="B857" s="82"/>
      <c r="C857" s="84"/>
      <c r="D857" s="82"/>
      <c r="E857" s="82"/>
      <c r="F857" s="82"/>
      <c r="G857" s="82"/>
      <c r="H857" s="82"/>
      <c r="I857" s="83"/>
    </row>
    <row r="858" spans="1:9" x14ac:dyDescent="0.3">
      <c r="A858" s="81"/>
      <c r="B858" s="82"/>
      <c r="C858" s="84"/>
      <c r="D858" s="82"/>
      <c r="E858" s="82"/>
      <c r="F858" s="82"/>
      <c r="G858" s="82"/>
      <c r="H858" s="82"/>
      <c r="I858" s="83"/>
    </row>
    <row r="859" spans="1:9" x14ac:dyDescent="0.3">
      <c r="A859" s="81"/>
      <c r="B859" s="82"/>
      <c r="C859" s="84"/>
      <c r="D859" s="82"/>
      <c r="E859" s="82"/>
      <c r="F859" s="82"/>
      <c r="G859" s="82"/>
      <c r="H859" s="82"/>
      <c r="I859" s="83"/>
    </row>
    <row r="860" spans="1:9" x14ac:dyDescent="0.3">
      <c r="A860" s="81"/>
      <c r="B860" s="82"/>
      <c r="C860" s="84"/>
      <c r="D860" s="82"/>
      <c r="E860" s="82"/>
      <c r="F860" s="82"/>
      <c r="G860" s="82"/>
      <c r="H860" s="82"/>
      <c r="I860" s="83"/>
    </row>
    <row r="861" spans="1:9" x14ac:dyDescent="0.3">
      <c r="A861" s="81"/>
      <c r="B861" s="82"/>
      <c r="C861" s="84"/>
      <c r="D861" s="82"/>
      <c r="E861" s="82"/>
      <c r="F861" s="82"/>
      <c r="G861" s="82"/>
      <c r="H861" s="82"/>
      <c r="I861" s="83"/>
    </row>
    <row r="862" spans="1:9" x14ac:dyDescent="0.3">
      <c r="A862" s="81"/>
      <c r="B862" s="82"/>
      <c r="C862" s="84"/>
      <c r="D862" s="82"/>
      <c r="E862" s="82"/>
      <c r="F862" s="82"/>
      <c r="G862" s="82"/>
      <c r="H862" s="82"/>
      <c r="I862" s="83"/>
    </row>
    <row r="863" spans="1:9" x14ac:dyDescent="0.3">
      <c r="A863" s="81"/>
      <c r="B863" s="82"/>
      <c r="C863" s="84"/>
      <c r="D863" s="82"/>
      <c r="E863" s="82"/>
      <c r="F863" s="82"/>
      <c r="G863" s="82"/>
      <c r="H863" s="82"/>
      <c r="I863" s="83"/>
    </row>
    <row r="864" spans="1:9" x14ac:dyDescent="0.3">
      <c r="A864" s="81"/>
      <c r="B864" s="82"/>
      <c r="C864" s="84"/>
      <c r="D864" s="82"/>
      <c r="E864" s="82"/>
      <c r="F864" s="82"/>
      <c r="G864" s="82"/>
      <c r="H864" s="82"/>
      <c r="I864" s="83"/>
    </row>
    <row r="865" spans="1:9" x14ac:dyDescent="0.3">
      <c r="A865" s="81"/>
      <c r="B865" s="82"/>
      <c r="C865" s="84"/>
      <c r="D865" s="82"/>
      <c r="E865" s="82"/>
      <c r="F865" s="82"/>
      <c r="G865" s="82"/>
      <c r="H865" s="82"/>
      <c r="I865" s="83"/>
    </row>
    <row r="866" spans="1:9" x14ac:dyDescent="0.3">
      <c r="A866" s="81"/>
      <c r="B866" s="82"/>
      <c r="C866" s="84"/>
      <c r="D866" s="82"/>
      <c r="E866" s="82"/>
      <c r="F866" s="82"/>
      <c r="G866" s="82"/>
      <c r="H866" s="82"/>
      <c r="I866" s="83"/>
    </row>
    <row r="867" spans="1:9" x14ac:dyDescent="0.3">
      <c r="A867" s="81"/>
      <c r="B867" s="82"/>
      <c r="C867" s="84"/>
      <c r="D867" s="82"/>
      <c r="E867" s="82"/>
      <c r="F867" s="82"/>
      <c r="G867" s="82"/>
      <c r="H867" s="82"/>
      <c r="I867" s="83"/>
    </row>
    <row r="868" spans="1:9" x14ac:dyDescent="0.3">
      <c r="A868" s="81"/>
      <c r="B868" s="82"/>
      <c r="C868" s="84"/>
      <c r="D868" s="82"/>
      <c r="E868" s="82"/>
      <c r="F868" s="82"/>
      <c r="G868" s="82"/>
      <c r="H868" s="82"/>
      <c r="I868" s="83"/>
    </row>
    <row r="869" spans="1:9" x14ac:dyDescent="0.3">
      <c r="A869" s="81"/>
      <c r="B869" s="82"/>
      <c r="C869" s="84"/>
      <c r="D869" s="82"/>
      <c r="E869" s="82"/>
      <c r="F869" s="82"/>
      <c r="G869" s="82"/>
      <c r="H869" s="82"/>
      <c r="I869" s="83"/>
    </row>
    <row r="870" spans="1:9" x14ac:dyDescent="0.3">
      <c r="A870" s="81"/>
      <c r="B870" s="82"/>
      <c r="C870" s="84"/>
      <c r="D870" s="82"/>
      <c r="E870" s="82"/>
      <c r="F870" s="82"/>
      <c r="G870" s="82"/>
      <c r="H870" s="82"/>
      <c r="I870" s="83"/>
    </row>
    <row r="871" spans="1:9" x14ac:dyDescent="0.3">
      <c r="A871" s="81"/>
      <c r="B871" s="82"/>
      <c r="C871" s="84"/>
      <c r="D871" s="82"/>
      <c r="E871" s="82"/>
      <c r="F871" s="82"/>
      <c r="G871" s="82"/>
      <c r="H871" s="82"/>
      <c r="I871" s="83"/>
    </row>
    <row r="872" spans="1:9" x14ac:dyDescent="0.3">
      <c r="A872" s="81"/>
      <c r="B872" s="82"/>
      <c r="C872" s="84"/>
      <c r="D872" s="82"/>
      <c r="E872" s="82"/>
      <c r="F872" s="82"/>
      <c r="G872" s="82"/>
      <c r="H872" s="82"/>
      <c r="I872" s="83"/>
    </row>
    <row r="873" spans="1:9" x14ac:dyDescent="0.3">
      <c r="A873" s="81"/>
      <c r="B873" s="82"/>
      <c r="C873" s="84"/>
      <c r="D873" s="82"/>
      <c r="E873" s="82"/>
      <c r="F873" s="82"/>
      <c r="G873" s="82"/>
      <c r="H873" s="82"/>
      <c r="I873" s="83"/>
    </row>
    <row r="874" spans="1:9" x14ac:dyDescent="0.3">
      <c r="A874" s="81"/>
      <c r="B874" s="82"/>
      <c r="C874" s="84"/>
      <c r="D874" s="82"/>
      <c r="E874" s="82"/>
      <c r="F874" s="82"/>
      <c r="G874" s="82"/>
      <c r="H874" s="82"/>
      <c r="I874" s="83"/>
    </row>
    <row r="875" spans="1:9" x14ac:dyDescent="0.3">
      <c r="A875" s="81"/>
      <c r="B875" s="82"/>
      <c r="C875" s="84"/>
      <c r="D875" s="82"/>
      <c r="E875" s="82"/>
      <c r="F875" s="82"/>
      <c r="G875" s="82"/>
      <c r="H875" s="82"/>
      <c r="I875" s="83"/>
    </row>
    <row r="876" spans="1:9" x14ac:dyDescent="0.3">
      <c r="A876" s="81"/>
      <c r="B876" s="82"/>
      <c r="C876" s="84"/>
      <c r="D876" s="82"/>
      <c r="E876" s="82"/>
      <c r="F876" s="82"/>
      <c r="G876" s="82"/>
      <c r="H876" s="82"/>
      <c r="I876" s="83"/>
    </row>
    <row r="877" spans="1:9" x14ac:dyDescent="0.3">
      <c r="A877" s="81"/>
      <c r="B877" s="82"/>
      <c r="C877" s="84"/>
      <c r="D877" s="82"/>
      <c r="E877" s="82"/>
      <c r="F877" s="82"/>
      <c r="G877" s="82"/>
      <c r="H877" s="82"/>
      <c r="I877" s="83"/>
    </row>
    <row r="878" spans="1:9" x14ac:dyDescent="0.3">
      <c r="A878" s="81"/>
      <c r="B878" s="82"/>
      <c r="C878" s="84"/>
      <c r="D878" s="82"/>
      <c r="E878" s="82"/>
      <c r="F878" s="82"/>
      <c r="G878" s="82"/>
      <c r="H878" s="82"/>
      <c r="I878" s="83"/>
    </row>
    <row r="879" spans="1:9" x14ac:dyDescent="0.3">
      <c r="A879" s="81"/>
      <c r="B879" s="82"/>
      <c r="C879" s="84"/>
      <c r="D879" s="82"/>
      <c r="E879" s="82"/>
      <c r="F879" s="82"/>
      <c r="G879" s="82"/>
      <c r="H879" s="82"/>
      <c r="I879" s="83"/>
    </row>
    <row r="880" spans="1:9" x14ac:dyDescent="0.3">
      <c r="A880" s="81"/>
      <c r="B880" s="82"/>
      <c r="C880" s="84"/>
      <c r="D880" s="82"/>
      <c r="E880" s="82"/>
      <c r="F880" s="82"/>
      <c r="G880" s="82"/>
      <c r="H880" s="82"/>
      <c r="I880" s="83"/>
    </row>
    <row r="881" spans="1:9" x14ac:dyDescent="0.3">
      <c r="A881" s="81"/>
      <c r="B881" s="82"/>
      <c r="C881" s="84"/>
      <c r="D881" s="82"/>
      <c r="E881" s="82"/>
      <c r="F881" s="82"/>
      <c r="G881" s="82"/>
      <c r="H881" s="82"/>
      <c r="I881" s="83"/>
    </row>
    <row r="882" spans="1:9" x14ac:dyDescent="0.3">
      <c r="A882" s="81"/>
      <c r="B882" s="82"/>
      <c r="C882" s="84"/>
      <c r="D882" s="82"/>
      <c r="E882" s="82"/>
      <c r="F882" s="82"/>
      <c r="G882" s="82"/>
      <c r="H882" s="82"/>
      <c r="I882" s="83"/>
    </row>
    <row r="883" spans="1:9" x14ac:dyDescent="0.3">
      <c r="A883" s="81"/>
      <c r="B883" s="82"/>
      <c r="C883" s="84"/>
      <c r="D883" s="82"/>
      <c r="E883" s="82"/>
      <c r="F883" s="82"/>
      <c r="G883" s="82"/>
      <c r="H883" s="82"/>
      <c r="I883" s="83"/>
    </row>
    <row r="884" spans="1:9" x14ac:dyDescent="0.3">
      <c r="A884" s="81"/>
      <c r="B884" s="82"/>
      <c r="C884" s="84"/>
      <c r="D884" s="82"/>
      <c r="E884" s="82"/>
      <c r="F884" s="82"/>
      <c r="G884" s="82"/>
      <c r="H884" s="82"/>
      <c r="I884" s="83"/>
    </row>
    <row r="885" spans="1:9" x14ac:dyDescent="0.3">
      <c r="A885" s="81"/>
      <c r="B885" s="82"/>
      <c r="C885" s="84"/>
      <c r="D885" s="82"/>
      <c r="E885" s="82"/>
      <c r="F885" s="82"/>
      <c r="G885" s="82"/>
      <c r="H885" s="82"/>
      <c r="I885" s="83"/>
    </row>
    <row r="886" spans="1:9" x14ac:dyDescent="0.3">
      <c r="A886" s="81"/>
      <c r="B886" s="82"/>
      <c r="C886" s="84"/>
      <c r="D886" s="82"/>
      <c r="E886" s="82"/>
      <c r="F886" s="82"/>
      <c r="G886" s="82"/>
      <c r="H886" s="82"/>
      <c r="I886" s="83"/>
    </row>
    <row r="887" spans="1:9" x14ac:dyDescent="0.3">
      <c r="A887" s="81"/>
      <c r="B887" s="82"/>
      <c r="C887" s="84"/>
      <c r="D887" s="82"/>
      <c r="E887" s="82"/>
      <c r="F887" s="82"/>
      <c r="G887" s="82"/>
      <c r="H887" s="82"/>
      <c r="I887" s="83"/>
    </row>
    <row r="888" spans="1:9" x14ac:dyDescent="0.3">
      <c r="A888" s="81"/>
      <c r="B888" s="82"/>
      <c r="C888" s="84"/>
      <c r="D888" s="82"/>
      <c r="E888" s="82"/>
      <c r="F888" s="82"/>
      <c r="G888" s="82"/>
      <c r="H888" s="82"/>
      <c r="I888" s="83"/>
    </row>
    <row r="889" spans="1:9" x14ac:dyDescent="0.3">
      <c r="A889" s="81"/>
      <c r="B889" s="82"/>
      <c r="C889" s="84"/>
      <c r="D889" s="82"/>
      <c r="E889" s="82"/>
      <c r="F889" s="82"/>
      <c r="G889" s="82"/>
      <c r="H889" s="82"/>
      <c r="I889" s="83"/>
    </row>
    <row r="890" spans="1:9" x14ac:dyDescent="0.3">
      <c r="A890" s="81"/>
      <c r="B890" s="82"/>
      <c r="C890" s="84"/>
      <c r="D890" s="82"/>
      <c r="E890" s="82"/>
      <c r="F890" s="82"/>
      <c r="G890" s="82"/>
      <c r="H890" s="82"/>
      <c r="I890" s="83"/>
    </row>
    <row r="891" spans="1:9" x14ac:dyDescent="0.3">
      <c r="A891" s="81"/>
      <c r="B891" s="82"/>
      <c r="C891" s="84"/>
      <c r="D891" s="82"/>
      <c r="E891" s="82"/>
      <c r="F891" s="82"/>
      <c r="G891" s="82"/>
      <c r="H891" s="82"/>
      <c r="I891" s="83"/>
    </row>
    <row r="892" spans="1:9" x14ac:dyDescent="0.3">
      <c r="A892" s="81"/>
      <c r="B892" s="82"/>
      <c r="C892" s="84"/>
      <c r="D892" s="82"/>
      <c r="E892" s="82"/>
      <c r="F892" s="82"/>
      <c r="G892" s="82"/>
      <c r="H892" s="82"/>
      <c r="I892" s="83"/>
    </row>
    <row r="893" spans="1:9" x14ac:dyDescent="0.3">
      <c r="A893" s="81"/>
      <c r="B893" s="82"/>
      <c r="C893" s="84"/>
      <c r="D893" s="82"/>
      <c r="E893" s="82"/>
      <c r="F893" s="82"/>
      <c r="G893" s="82"/>
      <c r="H893" s="82"/>
      <c r="I893" s="83"/>
    </row>
    <row r="894" spans="1:9" x14ac:dyDescent="0.3">
      <c r="A894" s="81"/>
      <c r="B894" s="82"/>
      <c r="C894" s="84"/>
      <c r="D894" s="82"/>
      <c r="E894" s="82"/>
      <c r="F894" s="82"/>
      <c r="G894" s="82"/>
      <c r="H894" s="82"/>
      <c r="I894" s="83"/>
    </row>
    <row r="895" spans="1:9" x14ac:dyDescent="0.3">
      <c r="A895" s="81"/>
      <c r="B895" s="82"/>
      <c r="C895" s="84"/>
      <c r="D895" s="82"/>
      <c r="E895" s="82"/>
      <c r="F895" s="82"/>
      <c r="G895" s="82"/>
      <c r="H895" s="82"/>
      <c r="I895" s="83"/>
    </row>
    <row r="896" spans="1:9" x14ac:dyDescent="0.3">
      <c r="A896" s="81"/>
      <c r="B896" s="82"/>
      <c r="C896" s="84"/>
      <c r="D896" s="82"/>
      <c r="E896" s="82"/>
      <c r="F896" s="82"/>
      <c r="G896" s="82"/>
      <c r="H896" s="82"/>
      <c r="I896" s="83"/>
    </row>
    <row r="897" spans="1:9" x14ac:dyDescent="0.3">
      <c r="A897" s="81"/>
      <c r="B897" s="82"/>
      <c r="C897" s="84"/>
      <c r="D897" s="82"/>
      <c r="E897" s="82"/>
      <c r="F897" s="82"/>
      <c r="G897" s="82"/>
      <c r="H897" s="82"/>
      <c r="I897" s="83"/>
    </row>
    <row r="898" spans="1:9" x14ac:dyDescent="0.3">
      <c r="A898" s="81"/>
      <c r="B898" s="82"/>
      <c r="C898" s="84"/>
      <c r="D898" s="82"/>
      <c r="E898" s="82"/>
      <c r="F898" s="82"/>
      <c r="G898" s="82"/>
      <c r="H898" s="82"/>
      <c r="I898" s="83"/>
    </row>
    <row r="899" spans="1:9" x14ac:dyDescent="0.3">
      <c r="A899" s="81"/>
      <c r="B899" s="82"/>
      <c r="C899" s="84"/>
      <c r="D899" s="82"/>
      <c r="E899" s="82"/>
      <c r="F899" s="82"/>
      <c r="G899" s="82"/>
      <c r="H899" s="82"/>
      <c r="I899" s="83"/>
    </row>
    <row r="900" spans="1:9" x14ac:dyDescent="0.3">
      <c r="A900" s="81"/>
      <c r="B900" s="82"/>
      <c r="C900" s="84"/>
      <c r="D900" s="82"/>
      <c r="E900" s="82"/>
      <c r="F900" s="82"/>
      <c r="G900" s="82"/>
      <c r="H900" s="82"/>
      <c r="I900" s="83"/>
    </row>
    <row r="901" spans="1:9" x14ac:dyDescent="0.3">
      <c r="A901" s="81"/>
      <c r="B901" s="82"/>
      <c r="C901" s="84"/>
      <c r="D901" s="82"/>
      <c r="E901" s="82"/>
      <c r="F901" s="82"/>
      <c r="G901" s="82"/>
      <c r="H901" s="82"/>
      <c r="I901" s="83"/>
    </row>
    <row r="902" spans="1:9" x14ac:dyDescent="0.3">
      <c r="A902" s="81"/>
      <c r="B902" s="82"/>
      <c r="C902" s="84"/>
      <c r="D902" s="82"/>
      <c r="E902" s="82"/>
      <c r="F902" s="82"/>
      <c r="G902" s="82"/>
      <c r="H902" s="82"/>
      <c r="I902" s="83"/>
    </row>
    <row r="903" spans="1:9" x14ac:dyDescent="0.3">
      <c r="A903" s="81"/>
      <c r="B903" s="82"/>
      <c r="C903" s="84"/>
      <c r="D903" s="82"/>
      <c r="E903" s="82"/>
      <c r="F903" s="82"/>
      <c r="G903" s="82"/>
      <c r="H903" s="82"/>
      <c r="I903" s="83"/>
    </row>
    <row r="904" spans="1:9" x14ac:dyDescent="0.3">
      <c r="A904" s="81"/>
      <c r="B904" s="82"/>
      <c r="C904" s="84"/>
      <c r="D904" s="82"/>
      <c r="E904" s="82"/>
      <c r="F904" s="82"/>
      <c r="G904" s="82"/>
      <c r="H904" s="82"/>
      <c r="I904" s="83"/>
    </row>
    <row r="905" spans="1:9" x14ac:dyDescent="0.3">
      <c r="A905" s="81"/>
      <c r="B905" s="82"/>
      <c r="C905" s="84"/>
      <c r="D905" s="82"/>
      <c r="E905" s="82"/>
      <c r="F905" s="82"/>
      <c r="G905" s="82"/>
      <c r="H905" s="82"/>
      <c r="I905" s="83"/>
    </row>
    <row r="906" spans="1:9" x14ac:dyDescent="0.3">
      <c r="A906" s="81"/>
      <c r="B906" s="82"/>
      <c r="C906" s="84"/>
      <c r="D906" s="82"/>
      <c r="E906" s="82"/>
      <c r="F906" s="82"/>
      <c r="G906" s="82"/>
      <c r="H906" s="82"/>
      <c r="I906" s="83"/>
    </row>
    <row r="907" spans="1:9" x14ac:dyDescent="0.3">
      <c r="A907" s="81"/>
      <c r="B907" s="82"/>
      <c r="C907" s="84"/>
      <c r="D907" s="82"/>
      <c r="E907" s="82"/>
      <c r="F907" s="82"/>
      <c r="G907" s="82"/>
      <c r="H907" s="82"/>
      <c r="I907" s="83"/>
    </row>
    <row r="908" spans="1:9" x14ac:dyDescent="0.3">
      <c r="A908" s="81"/>
      <c r="B908" s="82"/>
      <c r="C908" s="84"/>
      <c r="D908" s="82"/>
      <c r="E908" s="82"/>
      <c r="F908" s="82"/>
      <c r="G908" s="82"/>
      <c r="H908" s="82"/>
      <c r="I908" s="83"/>
    </row>
    <row r="909" spans="1:9" x14ac:dyDescent="0.3">
      <c r="A909" s="81"/>
      <c r="B909" s="82"/>
      <c r="C909" s="84"/>
      <c r="D909" s="82"/>
      <c r="E909" s="82"/>
      <c r="F909" s="82"/>
      <c r="G909" s="82"/>
      <c r="H909" s="82"/>
      <c r="I909" s="83"/>
    </row>
    <row r="910" spans="1:9" x14ac:dyDescent="0.3">
      <c r="A910" s="81"/>
      <c r="B910" s="82"/>
      <c r="C910" s="84"/>
      <c r="D910" s="82"/>
      <c r="E910" s="82"/>
      <c r="F910" s="82"/>
      <c r="G910" s="82"/>
      <c r="H910" s="82"/>
      <c r="I910" s="83"/>
    </row>
    <row r="911" spans="1:9" x14ac:dyDescent="0.3">
      <c r="A911" s="81"/>
      <c r="B911" s="82"/>
      <c r="C911" s="84"/>
      <c r="D911" s="82"/>
      <c r="E911" s="82"/>
      <c r="F911" s="82"/>
      <c r="G911" s="82"/>
      <c r="H911" s="82"/>
      <c r="I911" s="83"/>
    </row>
    <row r="912" spans="1:9" x14ac:dyDescent="0.3">
      <c r="A912" s="81"/>
      <c r="B912" s="82"/>
      <c r="C912" s="84"/>
      <c r="D912" s="82"/>
      <c r="E912" s="82"/>
      <c r="F912" s="82"/>
      <c r="G912" s="82"/>
      <c r="H912" s="82"/>
      <c r="I912" s="83"/>
    </row>
    <row r="913" spans="1:9" x14ac:dyDescent="0.3">
      <c r="A913" s="81"/>
      <c r="B913" s="82"/>
      <c r="C913" s="84"/>
      <c r="D913" s="82"/>
      <c r="E913" s="82"/>
      <c r="F913" s="82"/>
      <c r="G913" s="82"/>
      <c r="H913" s="82"/>
      <c r="I913" s="83"/>
    </row>
    <row r="914" spans="1:9" x14ac:dyDescent="0.3">
      <c r="A914" s="81"/>
      <c r="B914" s="82"/>
      <c r="C914" s="84"/>
      <c r="D914" s="82"/>
      <c r="E914" s="82"/>
      <c r="F914" s="82"/>
      <c r="G914" s="82"/>
      <c r="H914" s="82"/>
      <c r="I914" s="83"/>
    </row>
    <row r="915" spans="1:9" x14ac:dyDescent="0.3">
      <c r="A915" s="81"/>
      <c r="B915" s="82"/>
      <c r="C915" s="84"/>
      <c r="D915" s="82"/>
      <c r="E915" s="82"/>
      <c r="F915" s="82"/>
      <c r="G915" s="82"/>
      <c r="H915" s="82"/>
      <c r="I915" s="83"/>
    </row>
    <row r="916" spans="1:9" x14ac:dyDescent="0.3">
      <c r="A916" s="81"/>
      <c r="B916" s="82"/>
      <c r="C916" s="84"/>
      <c r="D916" s="82"/>
      <c r="E916" s="82"/>
      <c r="F916" s="82"/>
      <c r="G916" s="82"/>
      <c r="H916" s="82"/>
      <c r="I916" s="83"/>
    </row>
    <row r="917" spans="1:9" x14ac:dyDescent="0.3">
      <c r="A917" s="81"/>
      <c r="B917" s="82"/>
      <c r="C917" s="84"/>
      <c r="D917" s="82"/>
      <c r="E917" s="82"/>
      <c r="F917" s="82"/>
      <c r="G917" s="82"/>
      <c r="H917" s="82"/>
      <c r="I917" s="83"/>
    </row>
    <row r="918" spans="1:9" x14ac:dyDescent="0.3">
      <c r="A918" s="81"/>
      <c r="B918" s="82"/>
      <c r="C918" s="84"/>
      <c r="D918" s="82"/>
      <c r="E918" s="82"/>
      <c r="F918" s="82"/>
      <c r="G918" s="82"/>
      <c r="H918" s="82"/>
      <c r="I918" s="83"/>
    </row>
    <row r="919" spans="1:9" x14ac:dyDescent="0.3">
      <c r="A919" s="81"/>
      <c r="B919" s="82"/>
      <c r="C919" s="84"/>
      <c r="D919" s="82"/>
      <c r="E919" s="82"/>
      <c r="F919" s="82"/>
      <c r="G919" s="82"/>
      <c r="H919" s="82"/>
      <c r="I919" s="83"/>
    </row>
    <row r="920" spans="1:9" x14ac:dyDescent="0.3">
      <c r="A920" s="81"/>
      <c r="B920" s="82"/>
      <c r="C920" s="84"/>
      <c r="D920" s="82"/>
      <c r="E920" s="82"/>
      <c r="F920" s="82"/>
      <c r="G920" s="82"/>
      <c r="H920" s="82"/>
      <c r="I920" s="83"/>
    </row>
    <row r="921" spans="1:9" x14ac:dyDescent="0.3">
      <c r="A921" s="81"/>
      <c r="B921" s="82"/>
      <c r="C921" s="84"/>
      <c r="D921" s="82"/>
      <c r="E921" s="82"/>
      <c r="F921" s="82"/>
      <c r="G921" s="82"/>
      <c r="H921" s="82"/>
      <c r="I921" s="83"/>
    </row>
    <row r="922" spans="1:9" x14ac:dyDescent="0.3">
      <c r="A922" s="81"/>
      <c r="B922" s="82"/>
      <c r="C922" s="84"/>
      <c r="D922" s="82"/>
      <c r="E922" s="82"/>
      <c r="F922" s="82"/>
      <c r="G922" s="82"/>
      <c r="H922" s="82"/>
      <c r="I922" s="83"/>
    </row>
    <row r="923" spans="1:9" x14ac:dyDescent="0.3">
      <c r="A923" s="81"/>
      <c r="B923" s="82"/>
      <c r="C923" s="84"/>
      <c r="D923" s="82"/>
      <c r="E923" s="82"/>
      <c r="F923" s="82"/>
      <c r="G923" s="82"/>
      <c r="H923" s="82"/>
      <c r="I923" s="83"/>
    </row>
    <row r="924" spans="1:9" x14ac:dyDescent="0.3">
      <c r="A924" s="81"/>
      <c r="B924" s="82"/>
      <c r="C924" s="84"/>
      <c r="D924" s="82"/>
      <c r="E924" s="82"/>
      <c r="F924" s="82"/>
      <c r="G924" s="82"/>
      <c r="H924" s="82"/>
      <c r="I924" s="83"/>
    </row>
    <row r="925" spans="1:9" x14ac:dyDescent="0.3">
      <c r="A925" s="81"/>
      <c r="B925" s="82"/>
      <c r="C925" s="84"/>
      <c r="D925" s="82"/>
      <c r="E925" s="82"/>
      <c r="F925" s="82"/>
      <c r="G925" s="82"/>
      <c r="H925" s="82"/>
      <c r="I925" s="83"/>
    </row>
    <row r="926" spans="1:9" x14ac:dyDescent="0.3">
      <c r="A926" s="81"/>
      <c r="B926" s="82"/>
      <c r="C926" s="84"/>
      <c r="D926" s="82"/>
      <c r="E926" s="82"/>
      <c r="F926" s="82"/>
      <c r="G926" s="82"/>
      <c r="H926" s="82"/>
      <c r="I926" s="83"/>
    </row>
    <row r="927" spans="1:9" x14ac:dyDescent="0.3">
      <c r="A927" s="81"/>
      <c r="B927" s="82"/>
      <c r="C927" s="84"/>
      <c r="D927" s="82"/>
      <c r="E927" s="82"/>
      <c r="F927" s="82"/>
      <c r="G927" s="82"/>
      <c r="H927" s="82"/>
      <c r="I927" s="83"/>
    </row>
    <row r="928" spans="1:9" x14ac:dyDescent="0.3">
      <c r="A928" s="81"/>
      <c r="B928" s="82"/>
      <c r="C928" s="84"/>
      <c r="D928" s="82"/>
      <c r="E928" s="82"/>
      <c r="F928" s="82"/>
      <c r="G928" s="82"/>
      <c r="H928" s="82"/>
      <c r="I928" s="83"/>
    </row>
    <row r="929" spans="1:9" x14ac:dyDescent="0.3">
      <c r="A929" s="81"/>
      <c r="B929" s="82"/>
      <c r="C929" s="84"/>
      <c r="D929" s="82"/>
      <c r="E929" s="82"/>
      <c r="F929" s="82"/>
      <c r="G929" s="82"/>
      <c r="H929" s="82"/>
      <c r="I929" s="83"/>
    </row>
    <row r="930" spans="1:9" x14ac:dyDescent="0.3">
      <c r="A930" s="81"/>
      <c r="B930" s="82"/>
      <c r="C930" s="84"/>
      <c r="D930" s="82"/>
      <c r="E930" s="82"/>
      <c r="F930" s="82"/>
      <c r="G930" s="82"/>
      <c r="H930" s="82"/>
      <c r="I930" s="83"/>
    </row>
    <row r="931" spans="1:9" x14ac:dyDescent="0.3">
      <c r="A931" s="81"/>
      <c r="B931" s="82"/>
      <c r="C931" s="84"/>
      <c r="D931" s="82"/>
      <c r="E931" s="82"/>
      <c r="F931" s="82"/>
      <c r="G931" s="82"/>
      <c r="H931" s="82"/>
      <c r="I931" s="83"/>
    </row>
    <row r="932" spans="1:9" x14ac:dyDescent="0.3">
      <c r="A932" s="81"/>
      <c r="B932" s="82"/>
      <c r="C932" s="84"/>
      <c r="D932" s="82"/>
      <c r="E932" s="82"/>
      <c r="F932" s="82"/>
      <c r="G932" s="82"/>
      <c r="H932" s="82"/>
      <c r="I932" s="83"/>
    </row>
    <row r="933" spans="1:9" x14ac:dyDescent="0.3">
      <c r="A933" s="81"/>
      <c r="B933" s="82"/>
      <c r="C933" s="84"/>
      <c r="D933" s="82"/>
      <c r="E933" s="82"/>
      <c r="F933" s="82"/>
      <c r="G933" s="82"/>
      <c r="H933" s="82"/>
      <c r="I933" s="83"/>
    </row>
    <row r="934" spans="1:9" x14ac:dyDescent="0.3">
      <c r="A934" s="81"/>
      <c r="B934" s="82"/>
      <c r="C934" s="84"/>
      <c r="D934" s="82"/>
      <c r="E934" s="82"/>
      <c r="F934" s="82"/>
      <c r="G934" s="82"/>
      <c r="H934" s="82"/>
      <c r="I934" s="83"/>
    </row>
    <row r="935" spans="1:9" x14ac:dyDescent="0.3">
      <c r="A935" s="81"/>
      <c r="B935" s="82"/>
      <c r="C935" s="84"/>
      <c r="D935" s="82"/>
      <c r="E935" s="82"/>
      <c r="F935" s="82"/>
      <c r="G935" s="82"/>
      <c r="H935" s="82"/>
      <c r="I935" s="83"/>
    </row>
    <row r="936" spans="1:9" x14ac:dyDescent="0.3">
      <c r="A936" s="81"/>
      <c r="B936" s="82"/>
      <c r="C936" s="84"/>
      <c r="D936" s="82"/>
      <c r="E936" s="82"/>
      <c r="F936" s="82"/>
      <c r="G936" s="82"/>
      <c r="H936" s="82"/>
      <c r="I936" s="83"/>
    </row>
    <row r="937" spans="1:9" x14ac:dyDescent="0.3">
      <c r="A937" s="81"/>
      <c r="B937" s="82"/>
      <c r="C937" s="84"/>
      <c r="D937" s="82"/>
      <c r="E937" s="82"/>
      <c r="F937" s="82"/>
      <c r="G937" s="82"/>
      <c r="H937" s="82"/>
      <c r="I937" s="83"/>
    </row>
    <row r="938" spans="1:9" x14ac:dyDescent="0.3">
      <c r="A938" s="81"/>
      <c r="B938" s="82"/>
      <c r="C938" s="84"/>
      <c r="D938" s="82"/>
      <c r="E938" s="82"/>
      <c r="F938" s="82"/>
      <c r="G938" s="82"/>
      <c r="H938" s="82"/>
      <c r="I938" s="83"/>
    </row>
    <row r="939" spans="1:9" x14ac:dyDescent="0.3">
      <c r="A939" s="81"/>
      <c r="B939" s="82"/>
      <c r="C939" s="84"/>
      <c r="D939" s="82"/>
      <c r="E939" s="82"/>
      <c r="F939" s="82"/>
      <c r="G939" s="82"/>
      <c r="H939" s="82"/>
      <c r="I939" s="83"/>
    </row>
    <row r="940" spans="1:9" x14ac:dyDescent="0.3">
      <c r="A940" s="81"/>
      <c r="B940" s="82"/>
      <c r="C940" s="84"/>
      <c r="D940" s="82"/>
      <c r="E940" s="82"/>
      <c r="F940" s="82"/>
      <c r="G940" s="82"/>
      <c r="H940" s="82"/>
      <c r="I940" s="83"/>
    </row>
    <row r="941" spans="1:9" x14ac:dyDescent="0.3">
      <c r="A941" s="81"/>
      <c r="B941" s="82"/>
      <c r="C941" s="84"/>
      <c r="D941" s="82"/>
      <c r="E941" s="82"/>
      <c r="F941" s="82"/>
      <c r="G941" s="82"/>
      <c r="H941" s="82"/>
      <c r="I941" s="83"/>
    </row>
    <row r="942" spans="1:9" x14ac:dyDescent="0.3">
      <c r="A942" s="81"/>
      <c r="B942" s="82"/>
      <c r="C942" s="84"/>
      <c r="D942" s="82"/>
      <c r="E942" s="82"/>
      <c r="F942" s="82"/>
      <c r="G942" s="82"/>
      <c r="H942" s="82"/>
      <c r="I942" s="83"/>
    </row>
    <row r="943" spans="1:9" x14ac:dyDescent="0.3">
      <c r="A943" s="81"/>
      <c r="B943" s="82"/>
      <c r="C943" s="84"/>
      <c r="D943" s="82"/>
      <c r="E943" s="82"/>
      <c r="F943" s="82"/>
      <c r="G943" s="82"/>
      <c r="H943" s="82"/>
      <c r="I943" s="83"/>
    </row>
    <row r="944" spans="1:9" x14ac:dyDescent="0.3">
      <c r="A944" s="81"/>
      <c r="B944" s="82"/>
      <c r="C944" s="84"/>
      <c r="D944" s="82"/>
      <c r="E944" s="82"/>
      <c r="F944" s="82"/>
      <c r="G944" s="82"/>
      <c r="H944" s="82"/>
      <c r="I944" s="83"/>
    </row>
    <row r="945" spans="1:9" x14ac:dyDescent="0.3">
      <c r="A945" s="81"/>
      <c r="B945" s="82"/>
      <c r="C945" s="84"/>
      <c r="D945" s="82"/>
      <c r="E945" s="82"/>
      <c r="F945" s="82"/>
      <c r="G945" s="82"/>
      <c r="H945" s="82"/>
      <c r="I945" s="83"/>
    </row>
    <row r="946" spans="1:9" x14ac:dyDescent="0.3">
      <c r="A946" s="81"/>
      <c r="B946" s="82"/>
      <c r="C946" s="84"/>
      <c r="D946" s="82"/>
      <c r="E946" s="82"/>
      <c r="F946" s="82"/>
      <c r="G946" s="82"/>
      <c r="H946" s="82"/>
      <c r="I946" s="83"/>
    </row>
    <row r="947" spans="1:9" x14ac:dyDescent="0.3">
      <c r="A947" s="81"/>
      <c r="B947" s="82"/>
      <c r="C947" s="84"/>
      <c r="D947" s="82"/>
      <c r="E947" s="82"/>
      <c r="F947" s="82"/>
      <c r="G947" s="82"/>
      <c r="H947" s="82"/>
      <c r="I947" s="83"/>
    </row>
    <row r="948" spans="1:9" x14ac:dyDescent="0.3">
      <c r="A948" s="81"/>
      <c r="B948" s="82"/>
      <c r="C948" s="84"/>
      <c r="D948" s="82"/>
      <c r="E948" s="82"/>
      <c r="F948" s="82"/>
      <c r="G948" s="82"/>
      <c r="H948" s="82"/>
      <c r="I948" s="83"/>
    </row>
    <row r="949" spans="1:9" x14ac:dyDescent="0.3">
      <c r="A949" s="81"/>
      <c r="B949" s="82"/>
      <c r="C949" s="84"/>
      <c r="D949" s="82"/>
      <c r="E949" s="82"/>
      <c r="F949" s="82"/>
      <c r="G949" s="82"/>
      <c r="H949" s="82"/>
      <c r="I949" s="83"/>
    </row>
    <row r="950" spans="1:9" x14ac:dyDescent="0.3">
      <c r="A950" s="81"/>
      <c r="B950" s="82"/>
      <c r="C950" s="84"/>
      <c r="D950" s="82"/>
      <c r="E950" s="82"/>
      <c r="F950" s="82"/>
      <c r="G950" s="82"/>
      <c r="H950" s="82"/>
      <c r="I950" s="83"/>
    </row>
    <row r="951" spans="1:9" x14ac:dyDescent="0.3">
      <c r="A951" s="81"/>
      <c r="B951" s="82"/>
      <c r="C951" s="84"/>
      <c r="D951" s="82"/>
      <c r="E951" s="82"/>
      <c r="F951" s="82"/>
      <c r="G951" s="82"/>
      <c r="H951" s="82"/>
      <c r="I951" s="83"/>
    </row>
    <row r="952" spans="1:9" x14ac:dyDescent="0.3">
      <c r="A952" s="81"/>
      <c r="B952" s="82"/>
      <c r="C952" s="84"/>
      <c r="D952" s="82"/>
      <c r="E952" s="82"/>
      <c r="F952" s="82"/>
      <c r="G952" s="82"/>
      <c r="H952" s="82"/>
      <c r="I952" s="83"/>
    </row>
    <row r="953" spans="1:9" x14ac:dyDescent="0.3">
      <c r="A953" s="81"/>
      <c r="B953" s="82"/>
      <c r="C953" s="84"/>
      <c r="D953" s="82"/>
      <c r="E953" s="82"/>
      <c r="F953" s="82"/>
      <c r="G953" s="82"/>
      <c r="H953" s="82"/>
      <c r="I953" s="83"/>
    </row>
    <row r="954" spans="1:9" x14ac:dyDescent="0.3">
      <c r="A954" s="81"/>
      <c r="B954" s="82"/>
      <c r="C954" s="84"/>
      <c r="D954" s="82"/>
      <c r="E954" s="82"/>
      <c r="F954" s="82"/>
      <c r="G954" s="82"/>
      <c r="H954" s="82"/>
      <c r="I954" s="83"/>
    </row>
    <row r="955" spans="1:9" x14ac:dyDescent="0.3">
      <c r="A955" s="81"/>
      <c r="B955" s="82"/>
      <c r="C955" s="84"/>
      <c r="D955" s="82"/>
      <c r="E955" s="82"/>
      <c r="F955" s="82"/>
      <c r="G955" s="82"/>
      <c r="H955" s="82"/>
      <c r="I955" s="83"/>
    </row>
    <row r="956" spans="1:9" x14ac:dyDescent="0.3">
      <c r="A956" s="81"/>
      <c r="B956" s="82"/>
      <c r="C956" s="84"/>
      <c r="D956" s="82"/>
      <c r="E956" s="82"/>
      <c r="F956" s="82"/>
      <c r="G956" s="82"/>
      <c r="H956" s="82"/>
      <c r="I956" s="83"/>
    </row>
    <row r="957" spans="1:9" x14ac:dyDescent="0.3">
      <c r="A957" s="81"/>
      <c r="B957" s="82"/>
      <c r="C957" s="84"/>
      <c r="D957" s="82"/>
      <c r="E957" s="82"/>
      <c r="F957" s="82"/>
      <c r="G957" s="82"/>
      <c r="H957" s="82"/>
      <c r="I957" s="83"/>
    </row>
    <row r="958" spans="1:9" x14ac:dyDescent="0.3">
      <c r="A958" s="81"/>
      <c r="B958" s="82"/>
      <c r="C958" s="84"/>
      <c r="D958" s="82"/>
      <c r="E958" s="82"/>
      <c r="F958" s="82"/>
      <c r="G958" s="82"/>
      <c r="H958" s="82"/>
      <c r="I958" s="83"/>
    </row>
    <row r="959" spans="1:9" x14ac:dyDescent="0.3">
      <c r="A959" s="81"/>
      <c r="B959" s="82"/>
      <c r="C959" s="84"/>
      <c r="D959" s="82"/>
      <c r="E959" s="82"/>
      <c r="F959" s="82"/>
      <c r="G959" s="82"/>
      <c r="H959" s="82"/>
      <c r="I959" s="83"/>
    </row>
    <row r="960" spans="1:9" x14ac:dyDescent="0.3">
      <c r="A960" s="81"/>
      <c r="B960" s="82"/>
      <c r="C960" s="84"/>
      <c r="D960" s="82"/>
      <c r="E960" s="82"/>
      <c r="F960" s="82"/>
      <c r="G960" s="82"/>
      <c r="H960" s="82"/>
      <c r="I960" s="83"/>
    </row>
    <row r="961" spans="1:9" x14ac:dyDescent="0.3">
      <c r="A961" s="81"/>
      <c r="B961" s="82"/>
      <c r="C961" s="84"/>
      <c r="D961" s="82"/>
      <c r="E961" s="82"/>
      <c r="F961" s="82"/>
      <c r="G961" s="82"/>
      <c r="H961" s="82"/>
      <c r="I961" s="83"/>
    </row>
    <row r="962" spans="1:9" x14ac:dyDescent="0.3">
      <c r="A962" s="81"/>
      <c r="B962" s="82"/>
      <c r="C962" s="84"/>
      <c r="D962" s="82"/>
      <c r="E962" s="82"/>
      <c r="F962" s="82"/>
      <c r="G962" s="82"/>
      <c r="H962" s="82"/>
      <c r="I962" s="83"/>
    </row>
    <row r="963" spans="1:9" x14ac:dyDescent="0.3">
      <c r="A963" s="81"/>
      <c r="B963" s="82"/>
      <c r="C963" s="84"/>
      <c r="D963" s="82"/>
      <c r="E963" s="82"/>
      <c r="F963" s="82"/>
      <c r="G963" s="82"/>
      <c r="H963" s="82"/>
      <c r="I963" s="83"/>
    </row>
    <row r="964" spans="1:9" x14ac:dyDescent="0.3">
      <c r="A964" s="81"/>
      <c r="B964" s="82"/>
      <c r="C964" s="84"/>
      <c r="D964" s="82"/>
      <c r="E964" s="82"/>
      <c r="F964" s="82"/>
      <c r="G964" s="82"/>
      <c r="H964" s="82"/>
      <c r="I964" s="83"/>
    </row>
    <row r="965" spans="1:9" x14ac:dyDescent="0.3">
      <c r="A965" s="81"/>
      <c r="B965" s="82"/>
      <c r="C965" s="84"/>
      <c r="D965" s="82"/>
      <c r="E965" s="82"/>
      <c r="F965" s="82"/>
      <c r="G965" s="82"/>
      <c r="H965" s="82"/>
      <c r="I965" s="83"/>
    </row>
    <row r="966" spans="1:9" x14ac:dyDescent="0.3">
      <c r="A966" s="81"/>
      <c r="B966" s="82"/>
      <c r="C966" s="84"/>
      <c r="D966" s="82"/>
      <c r="E966" s="82"/>
      <c r="F966" s="82"/>
      <c r="G966" s="82"/>
      <c r="H966" s="82"/>
      <c r="I966" s="83"/>
    </row>
    <row r="967" spans="1:9" x14ac:dyDescent="0.3">
      <c r="A967" s="81"/>
      <c r="B967" s="82"/>
      <c r="C967" s="84"/>
      <c r="D967" s="82"/>
      <c r="E967" s="82"/>
      <c r="F967" s="82"/>
      <c r="G967" s="82"/>
      <c r="H967" s="82"/>
      <c r="I967" s="83"/>
    </row>
    <row r="968" spans="1:9" x14ac:dyDescent="0.3">
      <c r="A968" s="81"/>
      <c r="B968" s="82"/>
      <c r="C968" s="84"/>
      <c r="D968" s="82"/>
      <c r="E968" s="82"/>
      <c r="F968" s="82"/>
      <c r="G968" s="82"/>
      <c r="H968" s="82"/>
      <c r="I968" s="83"/>
    </row>
    <row r="969" spans="1:9" x14ac:dyDescent="0.3">
      <c r="A969" s="81"/>
      <c r="B969" s="82"/>
      <c r="C969" s="84"/>
      <c r="D969" s="82"/>
      <c r="E969" s="82"/>
      <c r="F969" s="82"/>
      <c r="G969" s="82"/>
      <c r="H969" s="82"/>
      <c r="I969" s="83"/>
    </row>
    <row r="970" spans="1:9" x14ac:dyDescent="0.3">
      <c r="A970" s="81"/>
      <c r="B970" s="82"/>
      <c r="C970" s="84"/>
      <c r="D970" s="82"/>
      <c r="E970" s="82"/>
      <c r="F970" s="82"/>
      <c r="G970" s="82"/>
      <c r="H970" s="82"/>
      <c r="I970" s="83"/>
    </row>
    <row r="971" spans="1:9" x14ac:dyDescent="0.3">
      <c r="A971" s="81"/>
      <c r="B971" s="82"/>
      <c r="C971" s="84"/>
      <c r="D971" s="82"/>
      <c r="E971" s="82"/>
      <c r="F971" s="82"/>
      <c r="G971" s="82"/>
      <c r="H971" s="82"/>
      <c r="I971" s="83"/>
    </row>
    <row r="972" spans="1:9" x14ac:dyDescent="0.3">
      <c r="A972" s="81"/>
      <c r="B972" s="82"/>
      <c r="C972" s="84"/>
      <c r="D972" s="82"/>
      <c r="E972" s="82"/>
      <c r="F972" s="82"/>
      <c r="G972" s="82"/>
      <c r="H972" s="82"/>
      <c r="I972" s="83"/>
    </row>
    <row r="973" spans="1:9" x14ac:dyDescent="0.3">
      <c r="A973" s="81"/>
      <c r="B973" s="82"/>
      <c r="C973" s="84"/>
      <c r="D973" s="82"/>
      <c r="E973" s="82"/>
      <c r="F973" s="82"/>
      <c r="G973" s="82"/>
      <c r="H973" s="82"/>
      <c r="I973" s="83"/>
    </row>
    <row r="974" spans="1:9" x14ac:dyDescent="0.3">
      <c r="A974" s="81"/>
      <c r="B974" s="82"/>
      <c r="C974" s="84"/>
      <c r="D974" s="82"/>
      <c r="E974" s="82"/>
      <c r="F974" s="82"/>
      <c r="G974" s="82"/>
      <c r="H974" s="82"/>
      <c r="I974" s="83"/>
    </row>
    <row r="975" spans="1:9" x14ac:dyDescent="0.3">
      <c r="A975" s="81"/>
      <c r="B975" s="82"/>
      <c r="C975" s="84"/>
      <c r="D975" s="82"/>
      <c r="E975" s="82"/>
      <c r="F975" s="82"/>
      <c r="G975" s="82"/>
      <c r="H975" s="82"/>
      <c r="I975" s="83"/>
    </row>
    <row r="976" spans="1:9" x14ac:dyDescent="0.3">
      <c r="A976" s="81"/>
      <c r="B976" s="82"/>
      <c r="C976" s="84"/>
      <c r="D976" s="82"/>
      <c r="E976" s="82"/>
      <c r="F976" s="82"/>
      <c r="G976" s="82"/>
      <c r="H976" s="82"/>
      <c r="I976" s="83"/>
    </row>
    <row r="977" spans="1:9" x14ac:dyDescent="0.3">
      <c r="A977" s="81"/>
      <c r="B977" s="82"/>
      <c r="C977" s="84"/>
      <c r="D977" s="82"/>
      <c r="E977" s="82"/>
      <c r="F977" s="82"/>
      <c r="G977" s="82"/>
      <c r="H977" s="82"/>
      <c r="I977" s="83"/>
    </row>
    <row r="978" spans="1:9" x14ac:dyDescent="0.3">
      <c r="A978" s="81"/>
      <c r="B978" s="82"/>
      <c r="C978" s="84"/>
      <c r="D978" s="82"/>
      <c r="E978" s="82"/>
      <c r="F978" s="82"/>
      <c r="G978" s="82"/>
      <c r="H978" s="82"/>
      <c r="I978" s="83"/>
    </row>
    <row r="979" spans="1:9" x14ac:dyDescent="0.3">
      <c r="A979" s="81"/>
      <c r="B979" s="82"/>
      <c r="C979" s="84"/>
      <c r="D979" s="82"/>
      <c r="E979" s="82"/>
      <c r="F979" s="82"/>
      <c r="G979" s="82"/>
      <c r="H979" s="82"/>
      <c r="I979" s="83"/>
    </row>
    <row r="980" spans="1:9" x14ac:dyDescent="0.3">
      <c r="A980" s="81"/>
      <c r="B980" s="82"/>
      <c r="C980" s="84"/>
      <c r="D980" s="82"/>
      <c r="E980" s="82"/>
      <c r="F980" s="82"/>
      <c r="G980" s="82"/>
      <c r="H980" s="82"/>
      <c r="I980" s="83"/>
    </row>
    <row r="981" spans="1:9" x14ac:dyDescent="0.3">
      <c r="A981" s="81"/>
      <c r="B981" s="82"/>
      <c r="C981" s="84"/>
      <c r="D981" s="82"/>
      <c r="E981" s="82"/>
      <c r="F981" s="82"/>
      <c r="G981" s="82"/>
      <c r="H981" s="82"/>
      <c r="I981" s="83"/>
    </row>
    <row r="982" spans="1:9" x14ac:dyDescent="0.3">
      <c r="A982" s="81"/>
      <c r="B982" s="82"/>
      <c r="C982" s="84"/>
      <c r="D982" s="82"/>
      <c r="E982" s="82"/>
      <c r="F982" s="82"/>
      <c r="G982" s="82"/>
      <c r="H982" s="82"/>
      <c r="I982" s="83"/>
    </row>
    <row r="983" spans="1:9" x14ac:dyDescent="0.3">
      <c r="A983" s="81"/>
      <c r="B983" s="82"/>
      <c r="C983" s="84"/>
      <c r="D983" s="82"/>
      <c r="E983" s="82"/>
      <c r="F983" s="82"/>
      <c r="G983" s="82"/>
      <c r="H983" s="82"/>
      <c r="I983" s="83"/>
    </row>
    <row r="984" spans="1:9" x14ac:dyDescent="0.3">
      <c r="A984" s="81"/>
      <c r="B984" s="82"/>
      <c r="C984" s="84"/>
      <c r="D984" s="82"/>
      <c r="E984" s="82"/>
      <c r="F984" s="82"/>
      <c r="G984" s="82"/>
      <c r="H984" s="82"/>
      <c r="I984" s="83"/>
    </row>
    <row r="985" spans="1:9" x14ac:dyDescent="0.3">
      <c r="A985" s="81"/>
      <c r="B985" s="82"/>
      <c r="C985" s="84"/>
      <c r="D985" s="82"/>
      <c r="E985" s="82"/>
      <c r="F985" s="82"/>
      <c r="G985" s="82"/>
      <c r="H985" s="82"/>
      <c r="I985" s="83"/>
    </row>
    <row r="986" spans="1:9" x14ac:dyDescent="0.3">
      <c r="A986" s="81"/>
      <c r="B986" s="82"/>
      <c r="C986" s="84"/>
      <c r="D986" s="82"/>
      <c r="E986" s="82"/>
      <c r="F986" s="82"/>
      <c r="G986" s="82"/>
      <c r="H986" s="82"/>
      <c r="I986" s="83"/>
    </row>
    <row r="987" spans="1:9" x14ac:dyDescent="0.3">
      <c r="A987" s="81"/>
      <c r="B987" s="82"/>
      <c r="C987" s="84"/>
      <c r="D987" s="82"/>
      <c r="E987" s="82"/>
      <c r="F987" s="82"/>
      <c r="G987" s="82"/>
      <c r="H987" s="82"/>
      <c r="I987" s="83"/>
    </row>
    <row r="988" spans="1:9" x14ac:dyDescent="0.3">
      <c r="A988" s="81"/>
      <c r="B988" s="82"/>
      <c r="C988" s="84"/>
      <c r="D988" s="82"/>
      <c r="E988" s="82"/>
      <c r="F988" s="82"/>
      <c r="G988" s="82"/>
      <c r="H988" s="82"/>
      <c r="I988" s="83"/>
    </row>
    <row r="989" spans="1:9" x14ac:dyDescent="0.3">
      <c r="A989" s="81"/>
      <c r="B989" s="82"/>
      <c r="C989" s="84"/>
      <c r="D989" s="82"/>
      <c r="E989" s="82"/>
      <c r="F989" s="82"/>
      <c r="G989" s="82"/>
      <c r="H989" s="82"/>
      <c r="I989" s="83"/>
    </row>
    <row r="990" spans="1:9" x14ac:dyDescent="0.3">
      <c r="A990" s="81"/>
      <c r="B990" s="82"/>
      <c r="C990" s="84"/>
      <c r="D990" s="82"/>
      <c r="E990" s="82"/>
      <c r="F990" s="82"/>
      <c r="G990" s="82"/>
      <c r="H990" s="82"/>
      <c r="I990" s="83"/>
    </row>
    <row r="991" spans="1:9" x14ac:dyDescent="0.3">
      <c r="A991" s="81"/>
      <c r="B991" s="82"/>
      <c r="C991" s="84"/>
      <c r="D991" s="82"/>
      <c r="E991" s="82"/>
      <c r="F991" s="82"/>
      <c r="G991" s="82"/>
      <c r="H991" s="82"/>
      <c r="I991" s="83"/>
    </row>
    <row r="992" spans="1:9" x14ac:dyDescent="0.3">
      <c r="A992" s="81"/>
      <c r="B992" s="82"/>
      <c r="C992" s="84"/>
      <c r="D992" s="82"/>
      <c r="E992" s="82"/>
      <c r="F992" s="82"/>
      <c r="G992" s="82"/>
      <c r="H992" s="82"/>
      <c r="I992" s="83"/>
    </row>
    <row r="993" spans="1:9" x14ac:dyDescent="0.3">
      <c r="A993" s="81"/>
      <c r="B993" s="82"/>
      <c r="C993" s="84"/>
      <c r="D993" s="82"/>
      <c r="E993" s="82"/>
      <c r="F993" s="82"/>
      <c r="G993" s="82"/>
      <c r="H993" s="82"/>
      <c r="I993" s="83"/>
    </row>
    <row r="994" spans="1:9" x14ac:dyDescent="0.3">
      <c r="A994" s="81"/>
      <c r="B994" s="82"/>
      <c r="C994" s="84"/>
      <c r="D994" s="82"/>
      <c r="E994" s="82"/>
      <c r="F994" s="82"/>
      <c r="G994" s="82"/>
      <c r="H994" s="82"/>
      <c r="I994" s="83"/>
    </row>
    <row r="995" spans="1:9" x14ac:dyDescent="0.3">
      <c r="A995" s="81"/>
      <c r="B995" s="82"/>
      <c r="C995" s="84"/>
      <c r="D995" s="82"/>
      <c r="E995" s="82"/>
      <c r="F995" s="82"/>
      <c r="G995" s="82"/>
      <c r="H995" s="82"/>
      <c r="I995" s="83"/>
    </row>
    <row r="996" spans="1:9" x14ac:dyDescent="0.3">
      <c r="A996" s="81"/>
      <c r="B996" s="82"/>
      <c r="C996" s="84"/>
      <c r="D996" s="82"/>
      <c r="E996" s="82"/>
      <c r="F996" s="82"/>
      <c r="G996" s="82"/>
      <c r="H996" s="82"/>
      <c r="I996" s="83"/>
    </row>
    <row r="997" spans="1:9" x14ac:dyDescent="0.3">
      <c r="A997" s="81"/>
      <c r="B997" s="82"/>
      <c r="C997" s="84"/>
      <c r="D997" s="82"/>
      <c r="E997" s="82"/>
      <c r="F997" s="82"/>
      <c r="G997" s="82"/>
      <c r="H997" s="82"/>
      <c r="I997" s="83"/>
    </row>
    <row r="998" spans="1:9" x14ac:dyDescent="0.3">
      <c r="A998" s="81"/>
      <c r="B998" s="82"/>
      <c r="C998" s="84"/>
      <c r="D998" s="82"/>
      <c r="E998" s="82"/>
      <c r="F998" s="82"/>
      <c r="G998" s="82"/>
      <c r="H998" s="82"/>
      <c r="I998" s="83"/>
    </row>
    <row r="999" spans="1:9" x14ac:dyDescent="0.3">
      <c r="A999" s="81"/>
      <c r="B999" s="82"/>
      <c r="C999" s="84"/>
      <c r="D999" s="82"/>
      <c r="E999" s="82"/>
      <c r="F999" s="82"/>
      <c r="G999" s="82"/>
      <c r="H999" s="82"/>
      <c r="I999" s="83"/>
    </row>
    <row r="1000" spans="1:9" x14ac:dyDescent="0.3">
      <c r="A1000" s="81"/>
      <c r="B1000" s="82"/>
      <c r="C1000" s="84"/>
      <c r="D1000" s="82"/>
      <c r="E1000" s="82"/>
      <c r="F1000" s="82"/>
      <c r="G1000" s="82"/>
      <c r="H1000" s="82"/>
      <c r="I1000" s="83"/>
    </row>
    <row r="1001" spans="1:9" x14ac:dyDescent="0.3">
      <c r="A1001" s="81"/>
      <c r="B1001" s="82"/>
      <c r="C1001" s="84"/>
      <c r="D1001" s="82"/>
      <c r="E1001" s="82"/>
      <c r="F1001" s="82"/>
      <c r="G1001" s="82"/>
      <c r="H1001" s="82"/>
      <c r="I1001" s="83"/>
    </row>
    <row r="1002" spans="1:9" x14ac:dyDescent="0.3">
      <c r="A1002" s="81"/>
      <c r="B1002" s="82"/>
      <c r="C1002" s="84"/>
      <c r="D1002" s="82"/>
      <c r="E1002" s="82"/>
      <c r="F1002" s="82"/>
      <c r="G1002" s="82"/>
      <c r="H1002" s="82"/>
      <c r="I1002" s="83"/>
    </row>
    <row r="1003" spans="1:9" x14ac:dyDescent="0.3">
      <c r="A1003" s="81"/>
      <c r="B1003" s="82"/>
      <c r="C1003" s="84"/>
      <c r="D1003" s="82"/>
      <c r="E1003" s="82"/>
      <c r="F1003" s="82"/>
      <c r="G1003" s="82"/>
      <c r="H1003" s="82"/>
      <c r="I1003" s="83"/>
    </row>
    <row r="1004" spans="1:9" x14ac:dyDescent="0.3">
      <c r="A1004" s="81"/>
      <c r="B1004" s="82"/>
      <c r="C1004" s="84"/>
      <c r="D1004" s="82"/>
      <c r="E1004" s="82"/>
      <c r="F1004" s="82"/>
      <c r="G1004" s="82"/>
      <c r="H1004" s="82"/>
      <c r="I1004" s="83"/>
    </row>
    <row r="1005" spans="1:9" x14ac:dyDescent="0.3">
      <c r="A1005" s="81"/>
      <c r="B1005" s="82"/>
      <c r="C1005" s="84"/>
      <c r="D1005" s="82"/>
      <c r="E1005" s="82"/>
      <c r="F1005" s="82"/>
      <c r="G1005" s="82"/>
      <c r="H1005" s="82"/>
      <c r="I1005" s="83"/>
    </row>
    <row r="1006" spans="1:9" x14ac:dyDescent="0.3">
      <c r="A1006" s="81"/>
      <c r="B1006" s="82"/>
      <c r="C1006" s="84"/>
      <c r="D1006" s="82"/>
      <c r="E1006" s="82"/>
      <c r="F1006" s="82"/>
      <c r="G1006" s="82"/>
      <c r="H1006" s="82"/>
      <c r="I1006" s="83"/>
    </row>
    <row r="1007" spans="1:9" x14ac:dyDescent="0.3">
      <c r="A1007" s="81"/>
      <c r="B1007" s="82"/>
      <c r="C1007" s="84"/>
      <c r="D1007" s="82"/>
      <c r="E1007" s="82"/>
      <c r="F1007" s="82"/>
      <c r="G1007" s="82"/>
      <c r="H1007" s="82"/>
      <c r="I1007" s="83"/>
    </row>
    <row r="1008" spans="1:9" x14ac:dyDescent="0.3">
      <c r="A1008" s="81"/>
      <c r="B1008" s="82"/>
      <c r="C1008" s="84"/>
      <c r="D1008" s="82"/>
      <c r="E1008" s="82"/>
      <c r="F1008" s="82"/>
      <c r="G1008" s="82"/>
      <c r="H1008" s="82"/>
      <c r="I1008" s="83"/>
    </row>
    <row r="1009" spans="1:9" x14ac:dyDescent="0.3">
      <c r="A1009" s="81"/>
      <c r="B1009" s="82"/>
      <c r="C1009" s="84"/>
      <c r="D1009" s="82"/>
      <c r="E1009" s="82"/>
      <c r="F1009" s="82"/>
      <c r="G1009" s="82"/>
      <c r="H1009" s="82"/>
      <c r="I1009" s="83"/>
    </row>
    <row r="1010" spans="1:9" x14ac:dyDescent="0.3">
      <c r="A1010" s="81"/>
      <c r="B1010" s="82"/>
      <c r="C1010" s="84"/>
      <c r="D1010" s="82"/>
      <c r="E1010" s="82"/>
      <c r="F1010" s="82"/>
      <c r="G1010" s="82"/>
      <c r="H1010" s="82"/>
      <c r="I1010" s="83"/>
    </row>
    <row r="1011" spans="1:9" x14ac:dyDescent="0.3">
      <c r="A1011" s="81"/>
      <c r="B1011" s="82"/>
      <c r="C1011" s="84"/>
      <c r="D1011" s="82"/>
      <c r="E1011" s="82"/>
      <c r="F1011" s="82"/>
      <c r="G1011" s="82"/>
      <c r="H1011" s="82"/>
      <c r="I1011" s="83"/>
    </row>
    <row r="1012" spans="1:9" x14ac:dyDescent="0.3">
      <c r="A1012" s="81"/>
      <c r="B1012" s="82"/>
      <c r="C1012" s="84"/>
      <c r="D1012" s="82"/>
      <c r="E1012" s="82"/>
      <c r="F1012" s="82"/>
      <c r="G1012" s="82"/>
      <c r="H1012" s="82"/>
      <c r="I1012" s="83"/>
    </row>
    <row r="1013" spans="1:9" x14ac:dyDescent="0.3">
      <c r="A1013" s="81"/>
      <c r="B1013" s="82"/>
      <c r="C1013" s="84"/>
      <c r="D1013" s="82"/>
      <c r="E1013" s="82"/>
      <c r="F1013" s="82"/>
      <c r="G1013" s="82"/>
      <c r="H1013" s="82"/>
      <c r="I1013" s="83"/>
    </row>
    <row r="1014" spans="1:9" x14ac:dyDescent="0.3">
      <c r="A1014" s="81"/>
      <c r="B1014" s="82"/>
      <c r="C1014" s="84"/>
      <c r="D1014" s="82"/>
      <c r="E1014" s="82"/>
      <c r="F1014" s="82"/>
      <c r="G1014" s="82"/>
      <c r="H1014" s="82"/>
      <c r="I1014" s="83"/>
    </row>
    <row r="1015" spans="1:9" x14ac:dyDescent="0.3">
      <c r="A1015" s="81"/>
      <c r="B1015" s="82"/>
      <c r="C1015" s="84"/>
      <c r="D1015" s="82"/>
      <c r="E1015" s="82"/>
      <c r="F1015" s="82"/>
      <c r="G1015" s="82"/>
      <c r="H1015" s="82"/>
      <c r="I1015" s="83"/>
    </row>
    <row r="1016" spans="1:9" x14ac:dyDescent="0.3">
      <c r="A1016" s="81"/>
      <c r="B1016" s="82"/>
      <c r="C1016" s="84"/>
      <c r="D1016" s="82"/>
      <c r="E1016" s="82"/>
      <c r="F1016" s="82"/>
      <c r="G1016" s="82"/>
      <c r="H1016" s="82"/>
      <c r="I1016" s="83"/>
    </row>
    <row r="1017" spans="1:9" x14ac:dyDescent="0.3">
      <c r="A1017" s="81"/>
      <c r="B1017" s="82"/>
      <c r="C1017" s="84"/>
      <c r="D1017" s="82"/>
      <c r="E1017" s="82"/>
      <c r="F1017" s="82"/>
      <c r="G1017" s="82"/>
      <c r="H1017" s="82"/>
      <c r="I1017" s="83"/>
    </row>
    <row r="1018" spans="1:9" x14ac:dyDescent="0.3">
      <c r="A1018" s="81"/>
      <c r="B1018" s="82"/>
      <c r="C1018" s="84"/>
      <c r="D1018" s="82"/>
      <c r="E1018" s="82"/>
      <c r="F1018" s="82"/>
      <c r="G1018" s="82"/>
      <c r="H1018" s="82"/>
      <c r="I1018" s="83"/>
    </row>
    <row r="1019" spans="1:9" x14ac:dyDescent="0.3">
      <c r="A1019" s="81"/>
      <c r="B1019" s="82"/>
      <c r="C1019" s="84"/>
      <c r="D1019" s="82"/>
      <c r="E1019" s="82"/>
      <c r="F1019" s="82"/>
      <c r="G1019" s="82"/>
      <c r="H1019" s="82"/>
      <c r="I1019" s="83"/>
    </row>
    <row r="1020" spans="1:9" x14ac:dyDescent="0.3">
      <c r="A1020" s="81"/>
      <c r="B1020" s="82"/>
      <c r="C1020" s="84"/>
      <c r="D1020" s="82"/>
      <c r="E1020" s="82"/>
      <c r="F1020" s="82"/>
      <c r="G1020" s="82"/>
      <c r="H1020" s="82"/>
      <c r="I1020" s="83"/>
    </row>
    <row r="1021" spans="1:9" x14ac:dyDescent="0.3">
      <c r="A1021" s="81"/>
      <c r="B1021" s="82"/>
      <c r="C1021" s="84"/>
      <c r="D1021" s="82"/>
      <c r="E1021" s="82"/>
      <c r="F1021" s="82"/>
      <c r="G1021" s="82"/>
      <c r="H1021" s="82"/>
      <c r="I1021" s="83"/>
    </row>
    <row r="1022" spans="1:9" x14ac:dyDescent="0.3">
      <c r="A1022" s="81"/>
      <c r="B1022" s="82"/>
      <c r="C1022" s="84"/>
      <c r="D1022" s="82"/>
      <c r="E1022" s="82"/>
      <c r="F1022" s="82"/>
      <c r="G1022" s="82"/>
      <c r="H1022" s="82"/>
      <c r="I1022" s="83"/>
    </row>
    <row r="1023" spans="1:9" x14ac:dyDescent="0.3">
      <c r="A1023" s="81"/>
      <c r="B1023" s="82"/>
      <c r="C1023" s="84"/>
      <c r="D1023" s="82"/>
      <c r="E1023" s="82"/>
      <c r="F1023" s="82"/>
      <c r="G1023" s="82"/>
      <c r="H1023" s="82"/>
      <c r="I1023" s="83"/>
    </row>
    <row r="1024" spans="1:9" x14ac:dyDescent="0.3">
      <c r="A1024" s="81"/>
      <c r="B1024" s="82"/>
      <c r="C1024" s="84"/>
      <c r="D1024" s="82"/>
      <c r="E1024" s="82"/>
      <c r="F1024" s="82"/>
      <c r="G1024" s="82"/>
      <c r="H1024" s="82"/>
      <c r="I1024" s="83"/>
    </row>
    <row r="1025" spans="1:9" x14ac:dyDescent="0.3">
      <c r="A1025" s="81"/>
      <c r="B1025" s="82"/>
      <c r="C1025" s="84"/>
      <c r="D1025" s="82"/>
      <c r="E1025" s="82"/>
      <c r="F1025" s="82"/>
      <c r="G1025" s="82"/>
      <c r="H1025" s="82"/>
      <c r="I1025" s="83"/>
    </row>
    <row r="1026" spans="1:9" x14ac:dyDescent="0.3">
      <c r="A1026" s="81"/>
      <c r="B1026" s="82"/>
      <c r="C1026" s="84"/>
      <c r="D1026" s="82"/>
      <c r="E1026" s="82"/>
      <c r="F1026" s="82"/>
      <c r="G1026" s="82"/>
      <c r="H1026" s="82"/>
      <c r="I1026" s="83"/>
    </row>
    <row r="1027" spans="1:9" x14ac:dyDescent="0.3">
      <c r="A1027" s="81"/>
      <c r="B1027" s="82"/>
      <c r="C1027" s="84"/>
      <c r="D1027" s="82"/>
      <c r="E1027" s="82"/>
      <c r="F1027" s="82"/>
      <c r="G1027" s="82"/>
      <c r="H1027" s="82"/>
      <c r="I1027" s="83"/>
    </row>
    <row r="1028" spans="1:9" x14ac:dyDescent="0.3">
      <c r="A1028" s="81"/>
      <c r="B1028" s="82"/>
      <c r="C1028" s="84"/>
      <c r="D1028" s="82"/>
      <c r="E1028" s="82"/>
      <c r="F1028" s="82"/>
      <c r="G1028" s="82"/>
      <c r="H1028" s="82"/>
      <c r="I1028" s="83"/>
    </row>
    <row r="1029" spans="1:9" x14ac:dyDescent="0.3">
      <c r="A1029" s="81"/>
      <c r="B1029" s="82"/>
      <c r="C1029" s="84"/>
      <c r="D1029" s="82"/>
      <c r="E1029" s="82"/>
      <c r="F1029" s="82"/>
      <c r="G1029" s="82"/>
      <c r="H1029" s="82"/>
      <c r="I1029" s="83"/>
    </row>
    <row r="1030" spans="1:9" x14ac:dyDescent="0.3">
      <c r="A1030" s="81"/>
      <c r="B1030" s="82"/>
      <c r="C1030" s="84"/>
      <c r="D1030" s="82"/>
      <c r="E1030" s="82"/>
      <c r="F1030" s="82"/>
      <c r="G1030" s="82"/>
      <c r="H1030" s="82"/>
      <c r="I1030" s="83"/>
    </row>
    <row r="1031" spans="1:9" x14ac:dyDescent="0.3">
      <c r="A1031" s="81"/>
      <c r="B1031" s="82"/>
      <c r="C1031" s="84"/>
      <c r="D1031" s="82"/>
      <c r="E1031" s="82"/>
      <c r="F1031" s="82"/>
      <c r="G1031" s="82"/>
      <c r="H1031" s="82"/>
      <c r="I1031" s="83"/>
    </row>
    <row r="1032" spans="1:9" x14ac:dyDescent="0.3">
      <c r="A1032" s="81"/>
      <c r="B1032" s="82"/>
      <c r="C1032" s="84"/>
      <c r="D1032" s="82"/>
      <c r="E1032" s="82"/>
      <c r="F1032" s="82"/>
      <c r="G1032" s="82"/>
      <c r="H1032" s="82"/>
      <c r="I1032" s="83"/>
    </row>
    <row r="1033" spans="1:9" x14ac:dyDescent="0.3">
      <c r="A1033" s="81"/>
      <c r="B1033" s="82"/>
      <c r="C1033" s="84"/>
      <c r="D1033" s="82"/>
      <c r="E1033" s="82"/>
      <c r="F1033" s="82"/>
      <c r="G1033" s="82"/>
      <c r="H1033" s="82"/>
      <c r="I1033" s="83"/>
    </row>
    <row r="1034" spans="1:9" x14ac:dyDescent="0.3">
      <c r="A1034" s="81"/>
      <c r="B1034" s="82"/>
      <c r="C1034" s="84"/>
      <c r="D1034" s="82"/>
      <c r="E1034" s="82"/>
      <c r="F1034" s="82"/>
      <c r="G1034" s="82"/>
      <c r="H1034" s="82"/>
      <c r="I1034" s="83"/>
    </row>
    <row r="1035" spans="1:9" x14ac:dyDescent="0.3">
      <c r="A1035" s="81"/>
      <c r="B1035" s="82"/>
      <c r="C1035" s="84"/>
      <c r="D1035" s="82"/>
      <c r="E1035" s="82"/>
      <c r="F1035" s="82"/>
      <c r="G1035" s="82"/>
      <c r="H1035" s="82"/>
      <c r="I1035" s="83"/>
    </row>
    <row r="1036" spans="1:9" x14ac:dyDescent="0.3">
      <c r="A1036" s="81"/>
      <c r="B1036" s="82"/>
      <c r="C1036" s="84"/>
      <c r="D1036" s="82"/>
      <c r="E1036" s="82"/>
      <c r="F1036" s="82"/>
      <c r="G1036" s="82"/>
      <c r="H1036" s="82"/>
      <c r="I1036" s="83"/>
    </row>
    <row r="1037" spans="1:9" x14ac:dyDescent="0.3">
      <c r="A1037" s="81"/>
      <c r="B1037" s="82"/>
      <c r="C1037" s="84"/>
      <c r="D1037" s="82"/>
      <c r="E1037" s="82"/>
      <c r="F1037" s="82"/>
      <c r="G1037" s="82"/>
      <c r="H1037" s="82"/>
      <c r="I1037" s="83"/>
    </row>
    <row r="1038" spans="1:9" x14ac:dyDescent="0.3">
      <c r="A1038" s="81"/>
      <c r="B1038" s="82"/>
      <c r="C1038" s="84"/>
      <c r="D1038" s="82"/>
      <c r="E1038" s="82"/>
      <c r="F1038" s="82"/>
      <c r="G1038" s="82"/>
      <c r="H1038" s="82"/>
      <c r="I1038" s="83"/>
    </row>
    <row r="1039" spans="1:9" x14ac:dyDescent="0.3">
      <c r="A1039" s="81"/>
      <c r="B1039" s="82"/>
      <c r="C1039" s="84"/>
      <c r="D1039" s="82"/>
      <c r="E1039" s="82"/>
      <c r="F1039" s="82"/>
      <c r="G1039" s="82"/>
      <c r="H1039" s="82"/>
      <c r="I1039" s="83"/>
    </row>
    <row r="1040" spans="1:9" x14ac:dyDescent="0.3">
      <c r="A1040" s="81"/>
      <c r="B1040" s="82"/>
      <c r="C1040" s="84"/>
      <c r="D1040" s="82"/>
      <c r="E1040" s="82"/>
      <c r="F1040" s="82"/>
      <c r="G1040" s="82"/>
      <c r="H1040" s="82"/>
      <c r="I1040" s="83"/>
    </row>
    <row r="1041" spans="1:9" x14ac:dyDescent="0.3">
      <c r="A1041" s="81"/>
      <c r="B1041" s="82"/>
      <c r="C1041" s="84"/>
      <c r="D1041" s="82"/>
      <c r="E1041" s="82"/>
      <c r="F1041" s="82"/>
      <c r="G1041" s="82"/>
      <c r="H1041" s="82"/>
      <c r="I1041" s="83"/>
    </row>
    <row r="1042" spans="1:9" x14ac:dyDescent="0.3">
      <c r="A1042" s="81"/>
      <c r="B1042" s="82"/>
      <c r="C1042" s="84"/>
      <c r="D1042" s="82"/>
      <c r="E1042" s="82"/>
      <c r="F1042" s="82"/>
      <c r="G1042" s="82"/>
      <c r="H1042" s="82"/>
      <c r="I1042" s="83"/>
    </row>
    <row r="1043" spans="1:9" x14ac:dyDescent="0.3">
      <c r="A1043" s="81"/>
      <c r="B1043" s="82"/>
      <c r="C1043" s="84"/>
      <c r="D1043" s="82"/>
      <c r="E1043" s="82"/>
      <c r="F1043" s="82"/>
      <c r="G1043" s="82"/>
      <c r="H1043" s="82"/>
      <c r="I1043" s="83"/>
    </row>
    <row r="1044" spans="1:9" x14ac:dyDescent="0.3">
      <c r="A1044" s="81"/>
      <c r="B1044" s="82"/>
      <c r="C1044" s="84"/>
      <c r="D1044" s="82"/>
      <c r="E1044" s="82"/>
      <c r="F1044" s="82"/>
      <c r="G1044" s="82"/>
      <c r="H1044" s="82"/>
      <c r="I1044" s="83"/>
    </row>
    <row r="1045" spans="1:9" x14ac:dyDescent="0.3">
      <c r="A1045" s="81"/>
      <c r="B1045" s="82"/>
      <c r="C1045" s="84"/>
      <c r="D1045" s="82"/>
      <c r="E1045" s="82"/>
      <c r="F1045" s="82"/>
      <c r="G1045" s="82"/>
      <c r="H1045" s="82"/>
      <c r="I1045" s="83"/>
    </row>
    <row r="1046" spans="1:9" x14ac:dyDescent="0.3">
      <c r="A1046" s="81"/>
      <c r="B1046" s="82"/>
      <c r="C1046" s="84"/>
      <c r="D1046" s="82"/>
      <c r="E1046" s="82"/>
      <c r="F1046" s="82"/>
      <c r="G1046" s="82"/>
      <c r="H1046" s="82"/>
      <c r="I1046" s="83"/>
    </row>
    <row r="1047" spans="1:9" x14ac:dyDescent="0.3">
      <c r="A1047" s="81"/>
      <c r="B1047" s="82"/>
      <c r="C1047" s="84"/>
      <c r="D1047" s="82"/>
      <c r="E1047" s="82"/>
      <c r="F1047" s="82"/>
      <c r="G1047" s="82"/>
      <c r="H1047" s="82"/>
      <c r="I1047" s="83"/>
    </row>
    <row r="1048" spans="1:9" x14ac:dyDescent="0.3">
      <c r="A1048" s="81"/>
      <c r="B1048" s="82"/>
      <c r="C1048" s="84"/>
      <c r="D1048" s="82"/>
      <c r="E1048" s="82"/>
      <c r="F1048" s="82"/>
      <c r="G1048" s="82"/>
      <c r="H1048" s="82"/>
      <c r="I1048" s="83"/>
    </row>
    <row r="1049" spans="1:9" x14ac:dyDescent="0.3">
      <c r="A1049" s="81"/>
      <c r="B1049" s="82"/>
      <c r="C1049" s="84"/>
      <c r="D1049" s="82"/>
      <c r="E1049" s="82"/>
      <c r="F1049" s="82"/>
      <c r="G1049" s="82"/>
      <c r="H1049" s="82"/>
      <c r="I1049" s="83"/>
    </row>
    <row r="1050" spans="1:9" x14ac:dyDescent="0.3">
      <c r="A1050" s="81"/>
      <c r="B1050" s="82"/>
      <c r="C1050" s="84"/>
      <c r="D1050" s="82"/>
      <c r="E1050" s="82"/>
      <c r="F1050" s="82"/>
      <c r="G1050" s="82"/>
      <c r="H1050" s="82"/>
      <c r="I1050" s="83"/>
    </row>
    <row r="1051" spans="1:9" x14ac:dyDescent="0.3">
      <c r="A1051" s="81"/>
      <c r="B1051" s="82"/>
      <c r="C1051" s="84"/>
      <c r="D1051" s="82"/>
      <c r="E1051" s="82"/>
      <c r="F1051" s="82"/>
      <c r="G1051" s="82"/>
      <c r="H1051" s="82"/>
      <c r="I1051" s="83"/>
    </row>
    <row r="1052" spans="1:9" x14ac:dyDescent="0.3">
      <c r="A1052" s="81"/>
      <c r="B1052" s="82"/>
      <c r="C1052" s="84"/>
      <c r="D1052" s="82"/>
      <c r="E1052" s="82"/>
      <c r="F1052" s="82"/>
      <c r="G1052" s="82"/>
      <c r="H1052" s="82"/>
      <c r="I1052" s="83"/>
    </row>
    <row r="1053" spans="1:9" x14ac:dyDescent="0.3">
      <c r="A1053" s="81"/>
      <c r="B1053" s="82"/>
      <c r="C1053" s="84"/>
      <c r="D1053" s="82"/>
      <c r="E1053" s="82"/>
      <c r="F1053" s="82"/>
      <c r="G1053" s="82"/>
      <c r="H1053" s="82"/>
      <c r="I1053" s="83"/>
    </row>
    <row r="1054" spans="1:9" x14ac:dyDescent="0.3">
      <c r="A1054" s="81"/>
      <c r="B1054" s="82"/>
      <c r="C1054" s="84"/>
      <c r="D1054" s="82"/>
      <c r="E1054" s="82"/>
      <c r="F1054" s="82"/>
      <c r="G1054" s="82"/>
      <c r="H1054" s="82"/>
      <c r="I1054" s="83"/>
    </row>
    <row r="1055" spans="1:9" x14ac:dyDescent="0.3">
      <c r="A1055" s="81"/>
      <c r="B1055" s="82"/>
      <c r="C1055" s="84"/>
      <c r="D1055" s="82"/>
      <c r="E1055" s="82"/>
      <c r="F1055" s="82"/>
      <c r="G1055" s="82"/>
      <c r="H1055" s="82"/>
      <c r="I1055" s="83"/>
    </row>
    <row r="1056" spans="1:9" x14ac:dyDescent="0.3">
      <c r="A1056" s="81"/>
      <c r="B1056" s="82"/>
      <c r="C1056" s="84"/>
      <c r="D1056" s="82"/>
      <c r="E1056" s="82"/>
      <c r="F1056" s="82"/>
      <c r="G1056" s="82"/>
      <c r="H1056" s="82"/>
      <c r="I1056" s="83"/>
    </row>
    <row r="1057" spans="1:9" x14ac:dyDescent="0.3">
      <c r="A1057" s="81"/>
      <c r="B1057" s="82"/>
      <c r="C1057" s="84"/>
      <c r="D1057" s="82"/>
      <c r="E1057" s="82"/>
      <c r="F1057" s="82"/>
      <c r="G1057" s="82"/>
      <c r="H1057" s="82"/>
      <c r="I1057" s="83"/>
    </row>
    <row r="1058" spans="1:9" x14ac:dyDescent="0.3">
      <c r="A1058" s="81"/>
      <c r="B1058" s="82"/>
      <c r="C1058" s="84"/>
      <c r="D1058" s="82"/>
      <c r="E1058" s="82"/>
      <c r="F1058" s="82"/>
      <c r="G1058" s="82"/>
      <c r="H1058" s="82"/>
      <c r="I1058" s="83"/>
    </row>
    <row r="1059" spans="1:9" x14ac:dyDescent="0.3">
      <c r="A1059" s="81"/>
      <c r="B1059" s="82"/>
      <c r="C1059" s="84"/>
      <c r="D1059" s="82"/>
      <c r="E1059" s="82"/>
      <c r="F1059" s="82"/>
      <c r="G1059" s="82"/>
      <c r="H1059" s="82"/>
      <c r="I1059" s="83"/>
    </row>
    <row r="1060" spans="1:9" x14ac:dyDescent="0.3">
      <c r="A1060" s="81"/>
      <c r="B1060" s="82"/>
      <c r="C1060" s="84"/>
      <c r="D1060" s="82"/>
      <c r="E1060" s="82"/>
      <c r="F1060" s="82"/>
      <c r="G1060" s="82"/>
      <c r="H1060" s="82"/>
      <c r="I1060" s="83"/>
    </row>
    <row r="1061" spans="1:9" x14ac:dyDescent="0.3">
      <c r="A1061" s="81"/>
      <c r="B1061" s="82"/>
      <c r="C1061" s="84"/>
      <c r="D1061" s="82"/>
      <c r="E1061" s="82"/>
      <c r="F1061" s="82"/>
      <c r="G1061" s="82"/>
      <c r="H1061" s="82"/>
      <c r="I1061" s="83"/>
    </row>
    <row r="1062" spans="1:9" x14ac:dyDescent="0.3">
      <c r="A1062" s="81"/>
      <c r="B1062" s="82"/>
      <c r="C1062" s="84"/>
      <c r="D1062" s="82"/>
      <c r="E1062" s="82"/>
      <c r="F1062" s="82"/>
      <c r="G1062" s="82"/>
      <c r="H1062" s="82"/>
      <c r="I1062" s="83"/>
    </row>
    <row r="1063" spans="1:9" x14ac:dyDescent="0.3">
      <c r="A1063" s="81"/>
      <c r="B1063" s="82"/>
      <c r="C1063" s="84"/>
      <c r="D1063" s="82"/>
      <c r="E1063" s="82"/>
      <c r="F1063" s="82"/>
      <c r="G1063" s="82"/>
      <c r="H1063" s="82"/>
      <c r="I1063" s="83"/>
    </row>
    <row r="1064" spans="1:9" x14ac:dyDescent="0.3">
      <c r="A1064" s="81"/>
      <c r="B1064" s="82"/>
      <c r="C1064" s="84"/>
      <c r="D1064" s="82"/>
      <c r="E1064" s="82"/>
      <c r="F1064" s="82"/>
      <c r="G1064" s="82"/>
      <c r="H1064" s="82"/>
      <c r="I1064" s="83"/>
    </row>
    <row r="1065" spans="1:9" x14ac:dyDescent="0.3">
      <c r="A1065" s="81"/>
      <c r="B1065" s="82"/>
      <c r="C1065" s="84"/>
      <c r="D1065" s="82"/>
      <c r="E1065" s="82"/>
      <c r="F1065" s="82"/>
      <c r="G1065" s="82"/>
      <c r="H1065" s="82"/>
      <c r="I1065" s="83"/>
    </row>
    <row r="1066" spans="1:9" x14ac:dyDescent="0.3">
      <c r="A1066" s="81"/>
      <c r="B1066" s="82"/>
      <c r="C1066" s="84"/>
      <c r="D1066" s="82"/>
      <c r="E1066" s="82"/>
      <c r="F1066" s="82"/>
      <c r="G1066" s="82"/>
      <c r="H1066" s="82"/>
      <c r="I1066" s="83"/>
    </row>
    <row r="1067" spans="1:9" x14ac:dyDescent="0.3">
      <c r="A1067" s="81"/>
      <c r="B1067" s="82"/>
      <c r="C1067" s="84"/>
      <c r="D1067" s="82"/>
      <c r="E1067" s="82"/>
      <c r="F1067" s="82"/>
      <c r="G1067" s="82"/>
      <c r="H1067" s="82"/>
      <c r="I1067" s="83"/>
    </row>
    <row r="1068" spans="1:9" x14ac:dyDescent="0.3">
      <c r="A1068" s="81"/>
      <c r="B1068" s="82"/>
      <c r="C1068" s="84"/>
      <c r="D1068" s="82"/>
      <c r="E1068" s="82"/>
      <c r="F1068" s="82"/>
      <c r="G1068" s="82"/>
      <c r="H1068" s="82"/>
      <c r="I1068" s="83"/>
    </row>
    <row r="1069" spans="1:9" x14ac:dyDescent="0.3">
      <c r="A1069" s="81"/>
      <c r="B1069" s="82"/>
      <c r="C1069" s="84"/>
      <c r="D1069" s="82"/>
      <c r="E1069" s="82"/>
      <c r="F1069" s="82"/>
      <c r="G1069" s="82"/>
      <c r="H1069" s="82"/>
      <c r="I1069" s="83"/>
    </row>
    <row r="1070" spans="1:9" x14ac:dyDescent="0.3">
      <c r="A1070" s="81"/>
      <c r="B1070" s="82"/>
      <c r="C1070" s="84"/>
      <c r="D1070" s="82"/>
      <c r="E1070" s="82"/>
      <c r="F1070" s="82"/>
      <c r="G1070" s="82"/>
      <c r="H1070" s="82"/>
      <c r="I1070" s="83"/>
    </row>
    <row r="1071" spans="1:9" x14ac:dyDescent="0.3">
      <c r="A1071" s="81"/>
      <c r="B1071" s="82"/>
      <c r="C1071" s="84"/>
      <c r="D1071" s="82"/>
      <c r="E1071" s="82"/>
      <c r="F1071" s="82"/>
      <c r="G1071" s="82"/>
      <c r="H1071" s="82"/>
      <c r="I1071" s="83"/>
    </row>
    <row r="1072" spans="1:9" x14ac:dyDescent="0.3">
      <c r="A1072" s="81"/>
      <c r="B1072" s="82"/>
      <c r="C1072" s="84"/>
      <c r="D1072" s="82"/>
      <c r="E1072" s="82"/>
      <c r="F1072" s="82"/>
      <c r="G1072" s="82"/>
      <c r="H1072" s="82"/>
      <c r="I1072" s="83"/>
    </row>
    <row r="1073" spans="1:9" x14ac:dyDescent="0.3">
      <c r="A1073" s="81"/>
      <c r="B1073" s="82"/>
      <c r="C1073" s="84"/>
      <c r="D1073" s="82"/>
      <c r="E1073" s="82"/>
      <c r="F1073" s="82"/>
      <c r="G1073" s="82"/>
      <c r="H1073" s="82"/>
      <c r="I1073" s="83"/>
    </row>
    <row r="1074" spans="1:9" x14ac:dyDescent="0.3">
      <c r="A1074" s="81"/>
      <c r="B1074" s="82"/>
      <c r="C1074" s="84"/>
      <c r="D1074" s="82"/>
      <c r="E1074" s="82"/>
      <c r="F1074" s="82"/>
      <c r="G1074" s="82"/>
      <c r="H1074" s="82"/>
      <c r="I1074" s="83"/>
    </row>
    <row r="1075" spans="1:9" x14ac:dyDescent="0.3">
      <c r="A1075" s="81"/>
      <c r="B1075" s="82"/>
      <c r="C1075" s="84"/>
      <c r="D1075" s="82"/>
      <c r="E1075" s="82"/>
      <c r="F1075" s="82"/>
      <c r="G1075" s="82"/>
      <c r="H1075" s="82"/>
      <c r="I1075" s="83"/>
    </row>
    <row r="1076" spans="1:9" x14ac:dyDescent="0.3">
      <c r="A1076" s="81"/>
      <c r="B1076" s="82"/>
      <c r="C1076" s="84"/>
      <c r="D1076" s="82"/>
      <c r="E1076" s="82"/>
      <c r="F1076" s="82"/>
      <c r="G1076" s="82"/>
      <c r="H1076" s="82"/>
      <c r="I1076" s="83"/>
    </row>
    <row r="1077" spans="1:9" x14ac:dyDescent="0.3">
      <c r="A1077" s="81"/>
      <c r="B1077" s="82"/>
      <c r="C1077" s="84"/>
      <c r="D1077" s="82"/>
      <c r="E1077" s="82"/>
      <c r="F1077" s="82"/>
      <c r="G1077" s="82"/>
      <c r="H1077" s="82"/>
      <c r="I1077" s="83"/>
    </row>
    <row r="1078" spans="1:9" x14ac:dyDescent="0.3">
      <c r="A1078" s="81"/>
      <c r="B1078" s="82"/>
      <c r="C1078" s="84"/>
      <c r="D1078" s="82"/>
      <c r="E1078" s="82"/>
      <c r="F1078" s="82"/>
      <c r="G1078" s="82"/>
      <c r="H1078" s="82"/>
      <c r="I1078" s="83"/>
    </row>
    <row r="1079" spans="1:9" x14ac:dyDescent="0.3">
      <c r="A1079" s="81"/>
      <c r="B1079" s="82"/>
      <c r="C1079" s="84"/>
      <c r="D1079" s="82"/>
      <c r="E1079" s="82"/>
      <c r="F1079" s="82"/>
      <c r="G1079" s="82"/>
      <c r="H1079" s="82"/>
      <c r="I1079" s="83"/>
    </row>
    <row r="1080" spans="1:9" x14ac:dyDescent="0.3">
      <c r="A1080" s="81"/>
      <c r="B1080" s="82"/>
      <c r="C1080" s="84"/>
      <c r="D1080" s="82"/>
      <c r="E1080" s="82"/>
      <c r="F1080" s="82"/>
      <c r="G1080" s="82"/>
      <c r="H1080" s="82"/>
      <c r="I1080" s="83"/>
    </row>
    <row r="1081" spans="1:9" x14ac:dyDescent="0.3">
      <c r="A1081" s="81"/>
      <c r="B1081" s="82"/>
      <c r="C1081" s="84"/>
      <c r="D1081" s="82"/>
      <c r="E1081" s="82"/>
      <c r="F1081" s="82"/>
      <c r="G1081" s="82"/>
      <c r="H1081" s="82"/>
      <c r="I1081" s="83"/>
    </row>
    <row r="1082" spans="1:9" x14ac:dyDescent="0.3">
      <c r="A1082" s="81"/>
      <c r="B1082" s="82"/>
      <c r="C1082" s="84"/>
      <c r="D1082" s="82"/>
      <c r="E1082" s="82"/>
      <c r="F1082" s="82"/>
      <c r="G1082" s="82"/>
      <c r="H1082" s="82"/>
      <c r="I1082" s="83"/>
    </row>
    <row r="1083" spans="1:9" x14ac:dyDescent="0.3">
      <c r="A1083" s="81"/>
      <c r="B1083" s="82"/>
      <c r="C1083" s="84"/>
      <c r="D1083" s="82"/>
      <c r="E1083" s="82"/>
      <c r="F1083" s="82"/>
      <c r="G1083" s="82"/>
      <c r="H1083" s="82"/>
      <c r="I1083" s="83"/>
    </row>
    <row r="1084" spans="1:9" x14ac:dyDescent="0.3">
      <c r="A1084" s="81"/>
      <c r="B1084" s="82"/>
      <c r="C1084" s="84"/>
      <c r="D1084" s="82"/>
      <c r="E1084" s="82"/>
      <c r="F1084" s="82"/>
      <c r="G1084" s="82"/>
      <c r="H1084" s="82"/>
      <c r="I1084" s="83"/>
    </row>
    <row r="1085" spans="1:9" x14ac:dyDescent="0.3">
      <c r="A1085" s="81"/>
      <c r="B1085" s="82"/>
      <c r="C1085" s="84"/>
      <c r="D1085" s="82"/>
      <c r="E1085" s="82"/>
      <c r="F1085" s="82"/>
      <c r="G1085" s="82"/>
      <c r="H1085" s="82"/>
      <c r="I1085" s="83"/>
    </row>
    <row r="1086" spans="1:9" x14ac:dyDescent="0.3">
      <c r="A1086" s="81"/>
      <c r="B1086" s="82"/>
      <c r="C1086" s="84"/>
      <c r="D1086" s="82"/>
      <c r="E1086" s="82"/>
      <c r="F1086" s="82"/>
      <c r="G1086" s="82"/>
      <c r="H1086" s="82"/>
      <c r="I1086" s="83"/>
    </row>
    <row r="1087" spans="1:9" x14ac:dyDescent="0.3">
      <c r="A1087" s="81"/>
      <c r="B1087" s="82"/>
      <c r="C1087" s="84"/>
      <c r="D1087" s="82"/>
      <c r="E1087" s="82"/>
      <c r="F1087" s="82"/>
      <c r="G1087" s="82"/>
      <c r="H1087" s="82"/>
      <c r="I1087" s="83"/>
    </row>
    <row r="1088" spans="1:9" x14ac:dyDescent="0.3">
      <c r="A1088" s="81"/>
      <c r="B1088" s="82"/>
      <c r="C1088" s="84"/>
      <c r="D1088" s="82"/>
      <c r="E1088" s="82"/>
      <c r="F1088" s="82"/>
      <c r="G1088" s="82"/>
      <c r="H1088" s="82"/>
      <c r="I1088" s="83"/>
    </row>
    <row r="1089" spans="1:9" x14ac:dyDescent="0.3">
      <c r="A1089" s="81"/>
      <c r="B1089" s="82"/>
      <c r="C1089" s="84"/>
      <c r="D1089" s="82"/>
      <c r="E1089" s="82"/>
      <c r="F1089" s="82"/>
      <c r="G1089" s="82"/>
      <c r="H1089" s="82"/>
      <c r="I1089" s="83"/>
    </row>
    <row r="1090" spans="1:9" x14ac:dyDescent="0.3">
      <c r="A1090" s="81"/>
      <c r="B1090" s="82"/>
      <c r="C1090" s="84"/>
      <c r="D1090" s="82"/>
      <c r="E1090" s="82"/>
      <c r="F1090" s="82"/>
      <c r="G1090" s="82"/>
      <c r="H1090" s="82"/>
      <c r="I1090" s="83"/>
    </row>
    <row r="1091" spans="1:9" x14ac:dyDescent="0.3">
      <c r="A1091" s="81"/>
      <c r="B1091" s="82"/>
      <c r="C1091" s="84"/>
      <c r="D1091" s="82"/>
      <c r="E1091" s="82"/>
      <c r="F1091" s="82"/>
      <c r="G1091" s="82"/>
      <c r="H1091" s="82"/>
      <c r="I1091" s="83"/>
    </row>
    <row r="1092" spans="1:9" x14ac:dyDescent="0.3">
      <c r="A1092" s="81"/>
      <c r="B1092" s="82"/>
      <c r="C1092" s="84"/>
      <c r="D1092" s="82"/>
      <c r="E1092" s="82"/>
      <c r="F1092" s="82"/>
      <c r="G1092" s="82"/>
      <c r="H1092" s="82"/>
      <c r="I1092" s="83"/>
    </row>
    <row r="1093" spans="1:9" x14ac:dyDescent="0.3">
      <c r="A1093" s="81"/>
      <c r="B1093" s="82"/>
      <c r="C1093" s="84"/>
      <c r="D1093" s="82"/>
      <c r="E1093" s="82"/>
      <c r="F1093" s="82"/>
      <c r="G1093" s="82"/>
      <c r="H1093" s="82"/>
      <c r="I1093" s="83"/>
    </row>
    <row r="1094" spans="1:9" x14ac:dyDescent="0.3">
      <c r="A1094" s="81"/>
      <c r="B1094" s="82"/>
      <c r="C1094" s="84"/>
      <c r="D1094" s="82"/>
      <c r="E1094" s="82"/>
      <c r="F1094" s="82"/>
      <c r="G1094" s="82"/>
      <c r="H1094" s="82"/>
      <c r="I1094" s="83"/>
    </row>
    <row r="1095" spans="1:9" x14ac:dyDescent="0.3">
      <c r="A1095" s="81"/>
      <c r="B1095" s="82"/>
      <c r="C1095" s="84"/>
      <c r="D1095" s="82"/>
      <c r="E1095" s="82"/>
      <c r="F1095" s="82"/>
      <c r="G1095" s="82"/>
      <c r="H1095" s="82"/>
      <c r="I1095" s="83"/>
    </row>
    <row r="1096" spans="1:9" x14ac:dyDescent="0.3">
      <c r="A1096" s="81"/>
      <c r="B1096" s="82"/>
      <c r="C1096" s="84"/>
      <c r="D1096" s="82"/>
      <c r="E1096" s="82"/>
      <c r="F1096" s="82"/>
      <c r="G1096" s="82"/>
      <c r="H1096" s="82"/>
      <c r="I1096" s="83"/>
    </row>
    <row r="1097" spans="1:9" x14ac:dyDescent="0.3">
      <c r="A1097" s="81"/>
      <c r="B1097" s="82"/>
      <c r="C1097" s="84"/>
      <c r="D1097" s="82"/>
      <c r="E1097" s="82"/>
      <c r="F1097" s="82"/>
      <c r="G1097" s="82"/>
      <c r="H1097" s="82"/>
      <c r="I1097" s="83"/>
    </row>
    <row r="1098" spans="1:9" x14ac:dyDescent="0.3">
      <c r="A1098" s="81"/>
      <c r="B1098" s="82"/>
      <c r="C1098" s="84"/>
      <c r="D1098" s="82"/>
      <c r="E1098" s="82"/>
      <c r="F1098" s="82"/>
      <c r="G1098" s="82"/>
      <c r="H1098" s="82"/>
      <c r="I1098" s="83"/>
    </row>
    <row r="1099" spans="1:9" x14ac:dyDescent="0.3">
      <c r="A1099" s="81"/>
      <c r="B1099" s="82"/>
      <c r="C1099" s="84"/>
      <c r="D1099" s="82"/>
      <c r="E1099" s="82"/>
      <c r="F1099" s="82"/>
      <c r="G1099" s="82"/>
      <c r="H1099" s="82"/>
      <c r="I1099" s="83"/>
    </row>
    <row r="1100" spans="1:9" x14ac:dyDescent="0.3">
      <c r="A1100" s="81"/>
      <c r="B1100" s="82"/>
      <c r="C1100" s="84"/>
      <c r="D1100" s="82"/>
      <c r="E1100" s="82"/>
      <c r="F1100" s="82"/>
      <c r="G1100" s="82"/>
      <c r="H1100" s="82"/>
      <c r="I1100" s="83"/>
    </row>
    <row r="1101" spans="1:9" x14ac:dyDescent="0.3">
      <c r="A1101" s="81"/>
      <c r="B1101" s="82"/>
      <c r="C1101" s="84"/>
      <c r="D1101" s="82"/>
      <c r="E1101" s="82"/>
      <c r="F1101" s="82"/>
      <c r="G1101" s="82"/>
      <c r="H1101" s="82"/>
      <c r="I1101" s="83"/>
    </row>
    <row r="1102" spans="1:9" x14ac:dyDescent="0.3">
      <c r="A1102" s="81"/>
      <c r="B1102" s="82"/>
      <c r="C1102" s="84"/>
      <c r="D1102" s="82"/>
      <c r="E1102" s="82"/>
      <c r="F1102" s="82"/>
      <c r="G1102" s="82"/>
      <c r="H1102" s="82"/>
      <c r="I1102" s="83"/>
    </row>
    <row r="1103" spans="1:9" x14ac:dyDescent="0.3">
      <c r="A1103" s="81"/>
      <c r="B1103" s="82"/>
      <c r="C1103" s="84"/>
      <c r="D1103" s="82"/>
      <c r="E1103" s="82"/>
      <c r="F1103" s="82"/>
      <c r="G1103" s="82"/>
      <c r="H1103" s="82"/>
      <c r="I1103" s="83"/>
    </row>
    <row r="1104" spans="1:9" x14ac:dyDescent="0.3">
      <c r="A1104" s="81"/>
      <c r="B1104" s="82"/>
      <c r="C1104" s="84"/>
      <c r="D1104" s="82"/>
      <c r="E1104" s="82"/>
      <c r="F1104" s="82"/>
      <c r="G1104" s="82"/>
      <c r="H1104" s="82"/>
      <c r="I1104" s="83"/>
    </row>
    <row r="1105" spans="1:9" x14ac:dyDescent="0.3">
      <c r="A1105" s="81"/>
      <c r="B1105" s="82"/>
      <c r="C1105" s="84"/>
      <c r="D1105" s="82"/>
      <c r="E1105" s="82"/>
      <c r="F1105" s="82"/>
      <c r="G1105" s="82"/>
      <c r="H1105" s="82"/>
      <c r="I1105" s="83"/>
    </row>
    <row r="1106" spans="1:9" x14ac:dyDescent="0.3">
      <c r="A1106" s="81"/>
      <c r="B1106" s="82"/>
      <c r="C1106" s="84"/>
      <c r="D1106" s="82"/>
      <c r="E1106" s="82"/>
      <c r="F1106" s="82"/>
      <c r="G1106" s="82"/>
      <c r="H1106" s="82"/>
      <c r="I1106" s="83"/>
    </row>
    <row r="1107" spans="1:9" x14ac:dyDescent="0.3">
      <c r="A1107" s="81"/>
      <c r="B1107" s="82"/>
      <c r="C1107" s="84"/>
      <c r="D1107" s="82"/>
      <c r="E1107" s="82"/>
      <c r="F1107" s="82"/>
      <c r="G1107" s="82"/>
      <c r="H1107" s="82"/>
      <c r="I1107" s="83"/>
    </row>
    <row r="1108" spans="1:9" x14ac:dyDescent="0.3">
      <c r="A1108" s="81"/>
      <c r="B1108" s="82"/>
      <c r="C1108" s="84"/>
      <c r="D1108" s="82"/>
      <c r="E1108" s="82"/>
      <c r="F1108" s="82"/>
      <c r="G1108" s="82"/>
      <c r="H1108" s="82"/>
      <c r="I1108" s="83"/>
    </row>
    <row r="1109" spans="1:9" x14ac:dyDescent="0.3">
      <c r="A1109" s="81"/>
      <c r="B1109" s="82"/>
      <c r="C1109" s="84"/>
      <c r="D1109" s="82"/>
      <c r="E1109" s="82"/>
      <c r="F1109" s="82"/>
      <c r="G1109" s="82"/>
      <c r="H1109" s="82"/>
      <c r="I1109" s="83"/>
    </row>
    <row r="1110" spans="1:9" x14ac:dyDescent="0.3">
      <c r="A1110" s="81"/>
      <c r="B1110" s="82"/>
      <c r="C1110" s="84"/>
      <c r="D1110" s="82"/>
      <c r="E1110" s="82"/>
      <c r="F1110" s="82"/>
      <c r="G1110" s="82"/>
      <c r="H1110" s="82"/>
      <c r="I1110" s="83"/>
    </row>
    <row r="1111" spans="1:9" x14ac:dyDescent="0.3">
      <c r="A1111" s="81"/>
      <c r="B1111" s="82"/>
      <c r="C1111" s="84"/>
      <c r="D1111" s="82"/>
      <c r="E1111" s="82"/>
      <c r="F1111" s="82"/>
      <c r="G1111" s="82"/>
      <c r="H1111" s="82"/>
      <c r="I1111" s="83"/>
    </row>
    <row r="1112" spans="1:9" x14ac:dyDescent="0.3">
      <c r="A1112" s="81"/>
      <c r="B1112" s="82"/>
      <c r="C1112" s="84"/>
      <c r="D1112" s="82"/>
      <c r="E1112" s="82"/>
      <c r="F1112" s="82"/>
      <c r="G1112" s="82"/>
      <c r="H1112" s="82"/>
      <c r="I1112" s="83"/>
    </row>
    <row r="1113" spans="1:9" x14ac:dyDescent="0.3">
      <c r="A1113" s="81"/>
      <c r="B1113" s="82"/>
      <c r="C1113" s="84"/>
      <c r="D1113" s="82"/>
      <c r="E1113" s="82"/>
      <c r="F1113" s="82"/>
      <c r="G1113" s="82"/>
      <c r="H1113" s="82"/>
      <c r="I1113" s="83"/>
    </row>
    <row r="1114" spans="1:9" x14ac:dyDescent="0.3">
      <c r="A1114" s="81"/>
      <c r="B1114" s="82"/>
      <c r="C1114" s="84"/>
      <c r="D1114" s="82"/>
      <c r="E1114" s="82"/>
      <c r="F1114" s="82"/>
      <c r="G1114" s="82"/>
      <c r="H1114" s="82"/>
      <c r="I1114" s="83"/>
    </row>
    <row r="1115" spans="1:9" x14ac:dyDescent="0.3">
      <c r="A1115" s="81"/>
      <c r="B1115" s="82"/>
      <c r="C1115" s="84"/>
      <c r="D1115" s="82"/>
      <c r="E1115" s="82"/>
      <c r="F1115" s="82"/>
      <c r="G1115" s="82"/>
      <c r="H1115" s="82"/>
      <c r="I1115" s="83"/>
    </row>
    <row r="1116" spans="1:9" x14ac:dyDescent="0.3">
      <c r="A1116" s="81"/>
      <c r="B1116" s="82"/>
      <c r="C1116" s="84"/>
      <c r="D1116" s="82"/>
      <c r="E1116" s="82"/>
      <c r="F1116" s="82"/>
      <c r="G1116" s="82"/>
      <c r="H1116" s="82"/>
      <c r="I1116" s="83"/>
    </row>
    <row r="1117" spans="1:9" x14ac:dyDescent="0.3">
      <c r="A1117" s="81"/>
      <c r="B1117" s="82"/>
      <c r="C1117" s="84"/>
      <c r="D1117" s="82"/>
      <c r="E1117" s="82"/>
      <c r="F1117" s="82"/>
      <c r="G1117" s="82"/>
      <c r="H1117" s="82"/>
      <c r="I1117" s="83"/>
    </row>
    <row r="1118" spans="1:9" x14ac:dyDescent="0.3">
      <c r="A1118" s="81"/>
      <c r="B1118" s="82"/>
      <c r="C1118" s="84"/>
      <c r="D1118" s="82"/>
      <c r="E1118" s="82"/>
      <c r="F1118" s="82"/>
      <c r="G1118" s="82"/>
      <c r="H1118" s="82"/>
      <c r="I1118" s="83"/>
    </row>
    <row r="1119" spans="1:9" x14ac:dyDescent="0.3">
      <c r="A1119" s="81"/>
      <c r="B1119" s="82"/>
      <c r="C1119" s="84"/>
      <c r="D1119" s="82"/>
      <c r="E1119" s="82"/>
      <c r="F1119" s="82"/>
      <c r="G1119" s="82"/>
      <c r="H1119" s="82"/>
      <c r="I1119" s="83"/>
    </row>
    <row r="1120" spans="1:9" x14ac:dyDescent="0.3">
      <c r="A1120" s="81"/>
      <c r="B1120" s="82"/>
      <c r="C1120" s="84"/>
      <c r="D1120" s="82"/>
      <c r="E1120" s="82"/>
      <c r="F1120" s="82"/>
      <c r="G1120" s="82"/>
      <c r="H1120" s="82"/>
      <c r="I1120" s="83"/>
    </row>
    <row r="1121" spans="1:9" x14ac:dyDescent="0.3">
      <c r="A1121" s="81"/>
      <c r="B1121" s="82"/>
      <c r="C1121" s="84"/>
      <c r="D1121" s="82"/>
      <c r="E1121" s="82"/>
      <c r="F1121" s="82"/>
      <c r="G1121" s="82"/>
      <c r="H1121" s="82"/>
      <c r="I1121" s="83"/>
    </row>
    <row r="1122" spans="1:9" x14ac:dyDescent="0.3">
      <c r="A1122" s="81"/>
      <c r="B1122" s="82"/>
      <c r="C1122" s="84"/>
      <c r="D1122" s="82"/>
      <c r="E1122" s="82"/>
      <c r="F1122" s="82"/>
      <c r="G1122" s="82"/>
      <c r="H1122" s="82"/>
      <c r="I1122" s="83"/>
    </row>
    <row r="1123" spans="1:9" x14ac:dyDescent="0.3">
      <c r="A1123" s="81"/>
      <c r="B1123" s="82"/>
      <c r="C1123" s="84"/>
      <c r="D1123" s="82"/>
      <c r="E1123" s="82"/>
      <c r="F1123" s="82"/>
      <c r="G1123" s="82"/>
      <c r="H1123" s="82"/>
      <c r="I1123" s="83"/>
    </row>
    <row r="1124" spans="1:9" x14ac:dyDescent="0.3">
      <c r="A1124" s="81"/>
      <c r="B1124" s="82"/>
      <c r="C1124" s="84"/>
      <c r="D1124" s="82"/>
      <c r="E1124" s="82"/>
      <c r="F1124" s="82"/>
      <c r="G1124" s="82"/>
      <c r="H1124" s="82"/>
      <c r="I1124" s="83"/>
    </row>
    <row r="1125" spans="1:9" x14ac:dyDescent="0.3">
      <c r="A1125" s="81"/>
      <c r="B1125" s="82"/>
      <c r="C1125" s="84"/>
      <c r="D1125" s="82"/>
      <c r="E1125" s="82"/>
      <c r="F1125" s="82"/>
      <c r="G1125" s="82"/>
      <c r="H1125" s="82"/>
      <c r="I1125" s="83"/>
    </row>
    <row r="1126" spans="1:9" x14ac:dyDescent="0.3">
      <c r="A1126" s="81"/>
      <c r="B1126" s="82"/>
      <c r="C1126" s="84"/>
      <c r="D1126" s="82"/>
      <c r="E1126" s="82"/>
      <c r="F1126" s="82"/>
      <c r="G1126" s="82"/>
      <c r="H1126" s="82"/>
      <c r="I1126" s="83"/>
    </row>
    <row r="1127" spans="1:9" x14ac:dyDescent="0.3">
      <c r="A1127" s="81"/>
      <c r="B1127" s="82"/>
      <c r="C1127" s="84"/>
      <c r="D1127" s="82"/>
      <c r="E1127" s="82"/>
      <c r="F1127" s="82"/>
      <c r="G1127" s="82"/>
      <c r="H1127" s="82"/>
      <c r="I1127" s="83"/>
    </row>
    <row r="1128" spans="1:9" x14ac:dyDescent="0.3">
      <c r="A1128" s="81"/>
      <c r="B1128" s="82"/>
      <c r="C1128" s="84"/>
      <c r="D1128" s="82"/>
      <c r="E1128" s="82"/>
      <c r="F1128" s="82"/>
      <c r="G1128" s="82"/>
      <c r="H1128" s="82"/>
      <c r="I1128" s="83"/>
    </row>
    <row r="1129" spans="1:9" x14ac:dyDescent="0.3">
      <c r="A1129" s="81"/>
      <c r="B1129" s="82"/>
      <c r="C1129" s="84"/>
      <c r="D1129" s="82"/>
      <c r="E1129" s="82"/>
      <c r="F1129" s="82"/>
      <c r="G1129" s="82"/>
      <c r="H1129" s="82"/>
      <c r="I1129" s="83"/>
    </row>
    <row r="1130" spans="1:9" x14ac:dyDescent="0.3">
      <c r="A1130" s="81"/>
      <c r="B1130" s="82"/>
      <c r="C1130" s="84"/>
      <c r="D1130" s="82"/>
      <c r="E1130" s="82"/>
      <c r="F1130" s="82"/>
      <c r="G1130" s="82"/>
      <c r="H1130" s="82"/>
      <c r="I1130" s="83"/>
    </row>
    <row r="1131" spans="1:9" x14ac:dyDescent="0.3">
      <c r="A1131" s="81"/>
      <c r="B1131" s="82"/>
      <c r="C1131" s="84"/>
      <c r="D1131" s="82"/>
      <c r="E1131" s="82"/>
      <c r="F1131" s="82"/>
      <c r="G1131" s="82"/>
      <c r="H1131" s="82"/>
      <c r="I1131" s="83"/>
    </row>
    <row r="1132" spans="1:9" x14ac:dyDescent="0.3">
      <c r="A1132" s="81"/>
      <c r="B1132" s="82"/>
      <c r="C1132" s="84"/>
      <c r="D1132" s="82"/>
      <c r="E1132" s="82"/>
      <c r="F1132" s="82"/>
      <c r="G1132" s="82"/>
      <c r="H1132" s="82"/>
      <c r="I1132" s="83"/>
    </row>
    <row r="1133" spans="1:9" x14ac:dyDescent="0.3">
      <c r="A1133" s="81"/>
      <c r="B1133" s="82"/>
      <c r="C1133" s="84"/>
      <c r="D1133" s="82"/>
      <c r="E1133" s="82"/>
      <c r="F1133" s="82"/>
      <c r="G1133" s="82"/>
      <c r="H1133" s="82"/>
      <c r="I1133" s="83"/>
    </row>
    <row r="1134" spans="1:9" x14ac:dyDescent="0.3">
      <c r="A1134" s="81"/>
      <c r="B1134" s="82"/>
      <c r="C1134" s="84"/>
      <c r="D1134" s="82"/>
      <c r="E1134" s="82"/>
      <c r="F1134" s="82"/>
      <c r="G1134" s="82"/>
      <c r="H1134" s="82"/>
      <c r="I1134" s="83"/>
    </row>
    <row r="1135" spans="1:9" x14ac:dyDescent="0.3">
      <c r="A1135" s="81"/>
      <c r="B1135" s="82"/>
      <c r="C1135" s="84"/>
      <c r="D1135" s="82"/>
      <c r="E1135" s="82"/>
      <c r="F1135" s="82"/>
      <c r="G1135" s="82"/>
      <c r="H1135" s="82"/>
      <c r="I1135" s="83"/>
    </row>
    <row r="1136" spans="1:9" x14ac:dyDescent="0.3">
      <c r="A1136" s="81"/>
      <c r="B1136" s="82"/>
      <c r="C1136" s="84"/>
      <c r="D1136" s="82"/>
      <c r="E1136" s="82"/>
      <c r="F1136" s="82"/>
      <c r="G1136" s="82"/>
      <c r="H1136" s="82"/>
      <c r="I1136" s="83"/>
    </row>
    <row r="1137" spans="1:9" x14ac:dyDescent="0.3">
      <c r="A1137" s="81"/>
      <c r="B1137" s="82"/>
      <c r="C1137" s="84"/>
      <c r="D1137" s="82"/>
      <c r="E1137" s="82"/>
      <c r="F1137" s="82"/>
      <c r="G1137" s="82"/>
      <c r="H1137" s="82"/>
      <c r="I1137" s="83"/>
    </row>
    <row r="1138" spans="1:9" x14ac:dyDescent="0.3">
      <c r="A1138" s="81"/>
      <c r="B1138" s="82"/>
      <c r="C1138" s="84"/>
      <c r="D1138" s="82"/>
      <c r="E1138" s="82"/>
      <c r="F1138" s="82"/>
      <c r="G1138" s="82"/>
      <c r="H1138" s="82"/>
      <c r="I1138" s="83"/>
    </row>
    <row r="1139" spans="1:9" x14ac:dyDescent="0.3">
      <c r="A1139" s="81"/>
      <c r="B1139" s="82"/>
      <c r="C1139" s="84"/>
      <c r="D1139" s="82"/>
      <c r="E1139" s="82"/>
      <c r="F1139" s="82"/>
      <c r="G1139" s="82"/>
      <c r="H1139" s="82"/>
      <c r="I1139" s="83"/>
    </row>
    <row r="1140" spans="1:9" x14ac:dyDescent="0.3">
      <c r="A1140" s="81"/>
      <c r="B1140" s="82"/>
      <c r="C1140" s="84"/>
      <c r="D1140" s="82"/>
      <c r="E1140" s="82"/>
      <c r="F1140" s="82"/>
      <c r="G1140" s="82"/>
      <c r="H1140" s="82"/>
      <c r="I1140" s="83"/>
    </row>
    <row r="1141" spans="1:9" x14ac:dyDescent="0.3">
      <c r="A1141" s="81"/>
      <c r="B1141" s="82"/>
      <c r="C1141" s="84"/>
      <c r="D1141" s="82"/>
      <c r="E1141" s="82"/>
      <c r="F1141" s="82"/>
      <c r="G1141" s="82"/>
      <c r="H1141" s="82"/>
      <c r="I1141" s="83"/>
    </row>
    <row r="1142" spans="1:9" x14ac:dyDescent="0.3">
      <c r="A1142" s="81"/>
      <c r="B1142" s="82"/>
      <c r="C1142" s="84"/>
      <c r="D1142" s="82"/>
      <c r="E1142" s="82"/>
      <c r="F1142" s="82"/>
      <c r="G1142" s="82"/>
      <c r="H1142" s="82"/>
      <c r="I1142" s="83"/>
    </row>
    <row r="1143" spans="1:9" x14ac:dyDescent="0.3">
      <c r="A1143" s="81"/>
      <c r="B1143" s="82"/>
      <c r="C1143" s="84"/>
      <c r="D1143" s="82"/>
      <c r="E1143" s="82"/>
      <c r="F1143" s="82"/>
      <c r="G1143" s="82"/>
      <c r="H1143" s="82"/>
      <c r="I1143" s="83"/>
    </row>
    <row r="1144" spans="1:9" x14ac:dyDescent="0.3">
      <c r="A1144" s="81"/>
      <c r="B1144" s="82"/>
      <c r="C1144" s="84"/>
      <c r="D1144" s="82"/>
      <c r="E1144" s="82"/>
      <c r="F1144" s="82"/>
      <c r="G1144" s="82"/>
      <c r="H1144" s="82"/>
      <c r="I1144" s="83"/>
    </row>
    <row r="1145" spans="1:9" x14ac:dyDescent="0.3">
      <c r="A1145" s="81"/>
      <c r="B1145" s="82"/>
      <c r="C1145" s="84"/>
      <c r="D1145" s="82"/>
      <c r="E1145" s="82"/>
      <c r="F1145" s="82"/>
      <c r="G1145" s="82"/>
      <c r="H1145" s="82"/>
      <c r="I1145" s="83"/>
    </row>
    <row r="1146" spans="1:9" x14ac:dyDescent="0.3">
      <c r="A1146" s="81"/>
      <c r="B1146" s="82"/>
      <c r="C1146" s="84"/>
      <c r="D1146" s="82"/>
      <c r="E1146" s="82"/>
      <c r="F1146" s="82"/>
      <c r="G1146" s="82"/>
      <c r="H1146" s="82"/>
      <c r="I1146" s="83"/>
    </row>
    <row r="1147" spans="1:9" x14ac:dyDescent="0.3">
      <c r="A1147" s="81"/>
      <c r="B1147" s="82"/>
      <c r="C1147" s="84"/>
      <c r="D1147" s="82"/>
      <c r="E1147" s="82"/>
      <c r="F1147" s="82"/>
      <c r="G1147" s="82"/>
      <c r="H1147" s="82"/>
      <c r="I1147" s="83"/>
    </row>
    <row r="1148" spans="1:9" x14ac:dyDescent="0.3">
      <c r="A1148" s="81"/>
      <c r="B1148" s="82"/>
      <c r="C1148" s="84"/>
      <c r="D1148" s="82"/>
      <c r="E1148" s="82"/>
      <c r="F1148" s="82"/>
      <c r="G1148" s="82"/>
      <c r="H1148" s="82"/>
      <c r="I1148" s="83"/>
    </row>
    <row r="1149" spans="1:9" x14ac:dyDescent="0.3">
      <c r="A1149" s="81"/>
      <c r="B1149" s="82"/>
      <c r="C1149" s="84"/>
      <c r="D1149" s="82"/>
      <c r="E1149" s="82"/>
      <c r="F1149" s="82"/>
      <c r="G1149" s="82"/>
      <c r="H1149" s="82"/>
      <c r="I1149" s="83"/>
    </row>
    <row r="1150" spans="1:9" x14ac:dyDescent="0.3">
      <c r="A1150" s="81"/>
      <c r="B1150" s="82"/>
      <c r="C1150" s="84"/>
      <c r="D1150" s="82"/>
      <c r="E1150" s="82"/>
      <c r="F1150" s="82"/>
      <c r="G1150" s="82"/>
      <c r="H1150" s="82"/>
      <c r="I1150" s="83"/>
    </row>
    <row r="1151" spans="1:9" x14ac:dyDescent="0.3">
      <c r="A1151" s="81"/>
      <c r="B1151" s="82"/>
      <c r="C1151" s="84"/>
      <c r="D1151" s="82"/>
      <c r="E1151" s="82"/>
      <c r="F1151" s="82"/>
      <c r="G1151" s="82"/>
      <c r="H1151" s="82"/>
      <c r="I1151" s="83"/>
    </row>
    <row r="1152" spans="1:9" x14ac:dyDescent="0.3">
      <c r="A1152" s="81"/>
      <c r="B1152" s="82"/>
      <c r="C1152" s="84"/>
      <c r="D1152" s="82"/>
      <c r="E1152" s="82"/>
      <c r="F1152" s="82"/>
      <c r="G1152" s="82"/>
      <c r="H1152" s="82"/>
      <c r="I1152" s="83"/>
    </row>
    <row r="1153" spans="1:9" x14ac:dyDescent="0.3">
      <c r="A1153" s="81"/>
      <c r="B1153" s="82"/>
      <c r="C1153" s="84"/>
      <c r="D1153" s="82"/>
      <c r="E1153" s="82"/>
      <c r="F1153" s="82"/>
      <c r="G1153" s="82"/>
      <c r="H1153" s="82"/>
      <c r="I1153" s="83"/>
    </row>
    <row r="1154" spans="1:9" x14ac:dyDescent="0.3">
      <c r="A1154" s="81"/>
      <c r="B1154" s="82"/>
      <c r="C1154" s="84"/>
      <c r="D1154" s="82"/>
      <c r="E1154" s="82"/>
      <c r="F1154" s="82"/>
      <c r="G1154" s="82"/>
      <c r="H1154" s="82"/>
      <c r="I1154" s="83"/>
    </row>
    <row r="1155" spans="1:9" x14ac:dyDescent="0.3">
      <c r="A1155" s="81"/>
      <c r="B1155" s="82"/>
      <c r="C1155" s="84"/>
      <c r="D1155" s="82"/>
      <c r="E1155" s="82"/>
      <c r="F1155" s="82"/>
      <c r="G1155" s="82"/>
      <c r="H1155" s="82"/>
      <c r="I1155" s="83"/>
    </row>
    <row r="1156" spans="1:9" x14ac:dyDescent="0.3">
      <c r="A1156" s="81"/>
      <c r="B1156" s="82"/>
      <c r="C1156" s="84"/>
      <c r="D1156" s="82"/>
      <c r="E1156" s="82"/>
      <c r="F1156" s="82"/>
      <c r="G1156" s="82"/>
      <c r="H1156" s="82"/>
      <c r="I1156" s="83"/>
    </row>
    <row r="1157" spans="1:9" x14ac:dyDescent="0.3">
      <c r="A1157" s="81"/>
      <c r="B1157" s="82"/>
      <c r="C1157" s="84"/>
      <c r="D1157" s="82"/>
      <c r="E1157" s="82"/>
      <c r="F1157" s="82"/>
      <c r="G1157" s="82"/>
      <c r="H1157" s="82"/>
      <c r="I1157" s="83"/>
    </row>
    <row r="1158" spans="1:9" x14ac:dyDescent="0.3">
      <c r="A1158" s="81"/>
      <c r="B1158" s="82"/>
      <c r="C1158" s="84"/>
      <c r="D1158" s="82"/>
      <c r="E1158" s="82"/>
      <c r="F1158" s="82"/>
      <c r="G1158" s="82"/>
      <c r="H1158" s="82"/>
      <c r="I1158" s="83"/>
    </row>
    <row r="1159" spans="1:9" x14ac:dyDescent="0.3">
      <c r="A1159" s="81"/>
      <c r="B1159" s="82"/>
      <c r="C1159" s="84"/>
      <c r="D1159" s="82"/>
      <c r="E1159" s="82"/>
      <c r="F1159" s="82"/>
      <c r="G1159" s="82"/>
      <c r="H1159" s="82"/>
      <c r="I1159" s="83"/>
    </row>
    <row r="1160" spans="1:9" x14ac:dyDescent="0.3">
      <c r="A1160" s="81"/>
      <c r="B1160" s="82"/>
      <c r="C1160" s="84"/>
      <c r="D1160" s="82"/>
      <c r="E1160" s="82"/>
      <c r="F1160" s="82"/>
      <c r="G1160" s="82"/>
      <c r="H1160" s="82"/>
      <c r="I1160" s="83"/>
    </row>
    <row r="1161" spans="1:9" x14ac:dyDescent="0.3">
      <c r="A1161" s="81"/>
      <c r="B1161" s="82"/>
      <c r="C1161" s="84"/>
      <c r="D1161" s="82"/>
      <c r="E1161" s="82"/>
      <c r="F1161" s="82"/>
      <c r="G1161" s="82"/>
      <c r="H1161" s="82"/>
      <c r="I1161" s="83"/>
    </row>
    <row r="1162" spans="1:9" x14ac:dyDescent="0.3">
      <c r="A1162" s="81"/>
      <c r="B1162" s="82"/>
      <c r="C1162" s="84"/>
      <c r="D1162" s="82"/>
      <c r="E1162" s="82"/>
      <c r="F1162" s="82"/>
      <c r="G1162" s="82"/>
      <c r="H1162" s="82"/>
      <c r="I1162" s="83"/>
    </row>
    <row r="1163" spans="1:9" x14ac:dyDescent="0.3">
      <c r="A1163" s="81"/>
      <c r="B1163" s="82"/>
      <c r="C1163" s="84"/>
      <c r="D1163" s="82"/>
      <c r="E1163" s="82"/>
      <c r="F1163" s="82"/>
      <c r="G1163" s="82"/>
      <c r="H1163" s="82"/>
      <c r="I1163" s="83"/>
    </row>
    <row r="1164" spans="1:9" x14ac:dyDescent="0.3">
      <c r="A1164" s="81"/>
      <c r="B1164" s="82"/>
      <c r="C1164" s="84"/>
      <c r="D1164" s="82"/>
      <c r="E1164" s="82"/>
      <c r="F1164" s="82"/>
      <c r="G1164" s="82"/>
      <c r="H1164" s="82"/>
      <c r="I1164" s="83"/>
    </row>
    <row r="1165" spans="1:9" x14ac:dyDescent="0.3">
      <c r="A1165" s="81"/>
      <c r="B1165" s="82"/>
      <c r="C1165" s="84"/>
      <c r="D1165" s="82"/>
      <c r="E1165" s="82"/>
      <c r="F1165" s="82"/>
      <c r="G1165" s="82"/>
      <c r="H1165" s="82"/>
      <c r="I1165" s="83"/>
    </row>
    <row r="1166" spans="1:9" x14ac:dyDescent="0.3">
      <c r="A1166" s="81"/>
      <c r="B1166" s="82"/>
      <c r="C1166" s="84"/>
      <c r="D1166" s="82"/>
      <c r="E1166" s="82"/>
      <c r="F1166" s="82"/>
      <c r="G1166" s="82"/>
      <c r="H1166" s="82"/>
      <c r="I1166" s="83"/>
    </row>
    <row r="1167" spans="1:9" x14ac:dyDescent="0.3">
      <c r="A1167" s="81"/>
      <c r="B1167" s="82"/>
      <c r="C1167" s="84"/>
      <c r="D1167" s="82"/>
      <c r="E1167" s="82"/>
      <c r="F1167" s="82"/>
      <c r="G1167" s="82"/>
      <c r="H1167" s="82"/>
      <c r="I1167" s="83"/>
    </row>
    <row r="1168" spans="1:9" x14ac:dyDescent="0.3">
      <c r="A1168" s="81"/>
      <c r="B1168" s="82"/>
      <c r="C1168" s="84"/>
      <c r="D1168" s="82"/>
      <c r="E1168" s="82"/>
      <c r="F1168" s="82"/>
      <c r="G1168" s="82"/>
      <c r="H1168" s="82"/>
      <c r="I1168" s="83"/>
    </row>
    <row r="1169" spans="1:9" x14ac:dyDescent="0.3">
      <c r="A1169" s="81"/>
      <c r="B1169" s="82"/>
      <c r="C1169" s="84"/>
      <c r="D1169" s="82"/>
      <c r="E1169" s="82"/>
      <c r="F1169" s="82"/>
      <c r="G1169" s="82"/>
      <c r="H1169" s="82"/>
      <c r="I1169" s="83"/>
    </row>
    <row r="1170" spans="1:9" x14ac:dyDescent="0.3">
      <c r="A1170" s="81"/>
      <c r="B1170" s="82"/>
      <c r="C1170" s="84"/>
      <c r="D1170" s="82"/>
      <c r="E1170" s="82"/>
      <c r="F1170" s="82"/>
      <c r="G1170" s="82"/>
      <c r="H1170" s="82"/>
      <c r="I1170" s="83"/>
    </row>
    <row r="1171" spans="1:9" x14ac:dyDescent="0.3">
      <c r="A1171" s="81"/>
      <c r="B1171" s="82"/>
      <c r="C1171" s="84"/>
      <c r="D1171" s="82"/>
      <c r="E1171" s="82"/>
      <c r="F1171" s="82"/>
      <c r="G1171" s="82"/>
      <c r="H1171" s="82"/>
      <c r="I1171" s="83"/>
    </row>
    <row r="1172" spans="1:9" x14ac:dyDescent="0.3">
      <c r="A1172" s="81"/>
      <c r="B1172" s="82"/>
      <c r="C1172" s="84"/>
      <c r="D1172" s="82"/>
      <c r="E1172" s="82"/>
      <c r="F1172" s="82"/>
      <c r="G1172" s="82"/>
      <c r="H1172" s="82"/>
      <c r="I1172" s="83"/>
    </row>
    <row r="1173" spans="1:9" x14ac:dyDescent="0.3">
      <c r="A1173" s="81"/>
      <c r="B1173" s="82"/>
      <c r="C1173" s="84"/>
      <c r="D1173" s="82"/>
      <c r="E1173" s="82"/>
      <c r="F1173" s="82"/>
      <c r="G1173" s="82"/>
      <c r="H1173" s="82"/>
      <c r="I1173" s="83"/>
    </row>
    <row r="1174" spans="1:9" x14ac:dyDescent="0.3">
      <c r="A1174" s="81"/>
      <c r="B1174" s="82"/>
      <c r="C1174" s="84"/>
      <c r="D1174" s="82"/>
      <c r="E1174" s="82"/>
      <c r="F1174" s="82"/>
      <c r="G1174" s="82"/>
      <c r="H1174" s="82"/>
      <c r="I1174" s="83"/>
    </row>
    <row r="1175" spans="1:9" x14ac:dyDescent="0.3">
      <c r="A1175" s="81"/>
      <c r="B1175" s="82"/>
      <c r="C1175" s="84"/>
      <c r="D1175" s="82"/>
      <c r="E1175" s="82"/>
      <c r="F1175" s="82"/>
      <c r="G1175" s="82"/>
      <c r="H1175" s="82"/>
      <c r="I1175" s="83"/>
    </row>
    <row r="1176" spans="1:9" x14ac:dyDescent="0.3">
      <c r="A1176" s="81"/>
      <c r="B1176" s="82"/>
      <c r="C1176" s="84"/>
      <c r="D1176" s="82"/>
      <c r="E1176" s="82"/>
      <c r="F1176" s="82"/>
      <c r="G1176" s="82"/>
      <c r="H1176" s="82"/>
      <c r="I1176" s="83"/>
    </row>
    <row r="1177" spans="1:9" x14ac:dyDescent="0.3">
      <c r="A1177" s="81"/>
      <c r="B1177" s="82"/>
      <c r="C1177" s="84"/>
      <c r="D1177" s="82"/>
      <c r="E1177" s="82"/>
      <c r="F1177" s="82"/>
      <c r="G1177" s="82"/>
      <c r="H1177" s="82"/>
      <c r="I1177" s="83"/>
    </row>
    <row r="1178" spans="1:9" x14ac:dyDescent="0.3">
      <c r="A1178" s="81"/>
      <c r="B1178" s="82"/>
      <c r="C1178" s="84"/>
      <c r="D1178" s="82"/>
      <c r="E1178" s="82"/>
      <c r="F1178" s="82"/>
      <c r="G1178" s="82"/>
      <c r="H1178" s="82"/>
      <c r="I1178" s="83"/>
    </row>
    <row r="1179" spans="1:9" x14ac:dyDescent="0.3">
      <c r="A1179" s="81"/>
      <c r="B1179" s="82"/>
      <c r="C1179" s="84"/>
      <c r="D1179" s="82"/>
      <c r="E1179" s="82"/>
      <c r="F1179" s="82"/>
      <c r="G1179" s="82"/>
      <c r="H1179" s="82"/>
      <c r="I1179" s="83"/>
    </row>
    <row r="1180" spans="1:9" x14ac:dyDescent="0.3">
      <c r="A1180" s="81"/>
      <c r="B1180" s="82"/>
      <c r="C1180" s="84"/>
      <c r="D1180" s="82"/>
      <c r="E1180" s="82"/>
      <c r="F1180" s="82"/>
      <c r="G1180" s="82"/>
      <c r="H1180" s="82"/>
      <c r="I1180" s="83"/>
    </row>
    <row r="1181" spans="1:9" x14ac:dyDescent="0.3">
      <c r="A1181" s="81"/>
      <c r="B1181" s="82"/>
      <c r="C1181" s="84"/>
      <c r="D1181" s="82"/>
      <c r="E1181" s="82"/>
      <c r="F1181" s="82"/>
      <c r="G1181" s="82"/>
      <c r="H1181" s="82"/>
      <c r="I1181" s="83"/>
    </row>
    <row r="1182" spans="1:9" x14ac:dyDescent="0.3">
      <c r="A1182" s="81"/>
      <c r="B1182" s="82"/>
      <c r="C1182" s="84"/>
      <c r="D1182" s="82"/>
      <c r="E1182" s="82"/>
      <c r="F1182" s="82"/>
      <c r="G1182" s="82"/>
      <c r="H1182" s="82"/>
      <c r="I1182" s="83"/>
    </row>
    <row r="1183" spans="1:9" x14ac:dyDescent="0.3">
      <c r="A1183" s="81"/>
      <c r="B1183" s="82"/>
      <c r="C1183" s="84"/>
      <c r="D1183" s="82"/>
      <c r="E1183" s="82"/>
      <c r="F1183" s="82"/>
      <c r="G1183" s="82"/>
      <c r="H1183" s="82"/>
      <c r="I1183" s="83"/>
    </row>
    <row r="1184" spans="1:9" x14ac:dyDescent="0.3">
      <c r="A1184" s="81"/>
      <c r="B1184" s="82"/>
      <c r="C1184" s="84"/>
      <c r="D1184" s="82"/>
      <c r="E1184" s="82"/>
      <c r="F1184" s="82"/>
      <c r="G1184" s="82"/>
      <c r="H1184" s="82"/>
      <c r="I1184" s="83"/>
    </row>
    <row r="1185" spans="1:9" x14ac:dyDescent="0.3">
      <c r="A1185" s="81"/>
      <c r="B1185" s="82"/>
      <c r="C1185" s="84"/>
      <c r="D1185" s="82"/>
      <c r="E1185" s="82"/>
      <c r="F1185" s="82"/>
      <c r="G1185" s="82"/>
      <c r="H1185" s="82"/>
      <c r="I1185" s="83"/>
    </row>
    <row r="1186" spans="1:9" x14ac:dyDescent="0.3">
      <c r="A1186" s="81"/>
      <c r="B1186" s="82"/>
      <c r="C1186" s="84"/>
      <c r="D1186" s="82"/>
      <c r="E1186" s="82"/>
      <c r="F1186" s="82"/>
      <c r="G1186" s="82"/>
      <c r="H1186" s="82"/>
      <c r="I1186" s="83"/>
    </row>
    <row r="1187" spans="1:9" x14ac:dyDescent="0.3">
      <c r="A1187" s="81"/>
      <c r="B1187" s="82"/>
      <c r="C1187" s="84"/>
      <c r="D1187" s="82"/>
      <c r="E1187" s="82"/>
      <c r="F1187" s="82"/>
      <c r="G1187" s="82"/>
      <c r="H1187" s="82"/>
      <c r="I1187" s="83"/>
    </row>
    <row r="1188" spans="1:9" x14ac:dyDescent="0.3">
      <c r="A1188" s="81"/>
      <c r="B1188" s="82"/>
      <c r="C1188" s="84"/>
      <c r="D1188" s="82"/>
      <c r="E1188" s="82"/>
      <c r="F1188" s="82"/>
      <c r="G1188" s="82"/>
      <c r="H1188" s="82"/>
      <c r="I1188" s="83"/>
    </row>
    <row r="1189" spans="1:9" x14ac:dyDescent="0.3">
      <c r="A1189" s="81"/>
      <c r="B1189" s="82"/>
      <c r="C1189" s="84"/>
      <c r="D1189" s="82"/>
      <c r="E1189" s="82"/>
      <c r="F1189" s="82"/>
      <c r="G1189" s="82"/>
      <c r="H1189" s="82"/>
      <c r="I1189" s="83"/>
    </row>
    <row r="1190" spans="1:9" x14ac:dyDescent="0.3">
      <c r="A1190" s="81"/>
      <c r="B1190" s="82"/>
      <c r="C1190" s="84"/>
      <c r="D1190" s="82"/>
      <c r="E1190" s="82"/>
      <c r="F1190" s="82"/>
      <c r="G1190" s="82"/>
      <c r="H1190" s="82"/>
      <c r="I1190" s="83"/>
    </row>
    <row r="1191" spans="1:9" x14ac:dyDescent="0.3">
      <c r="A1191" s="81"/>
      <c r="B1191" s="82"/>
      <c r="C1191" s="84"/>
      <c r="D1191" s="82"/>
      <c r="E1191" s="82"/>
      <c r="F1191" s="82"/>
      <c r="G1191" s="82"/>
      <c r="H1191" s="82"/>
      <c r="I1191" s="83"/>
    </row>
    <row r="1192" spans="1:9" x14ac:dyDescent="0.3">
      <c r="A1192" s="81"/>
      <c r="B1192" s="82"/>
      <c r="C1192" s="84"/>
      <c r="D1192" s="82"/>
      <c r="E1192" s="82"/>
      <c r="F1192" s="82"/>
      <c r="G1192" s="82"/>
      <c r="H1192" s="82"/>
      <c r="I1192" s="83"/>
    </row>
    <row r="1193" spans="1:9" x14ac:dyDescent="0.3">
      <c r="A1193" s="81"/>
      <c r="B1193" s="82"/>
      <c r="C1193" s="84"/>
      <c r="D1193" s="82"/>
      <c r="E1193" s="82"/>
      <c r="F1193" s="82"/>
      <c r="G1193" s="82"/>
      <c r="H1193" s="82"/>
      <c r="I1193" s="83"/>
    </row>
    <row r="1194" spans="1:9" x14ac:dyDescent="0.3">
      <c r="A1194" s="81"/>
      <c r="B1194" s="82"/>
      <c r="C1194" s="84"/>
      <c r="D1194" s="82"/>
      <c r="E1194" s="82"/>
      <c r="F1194" s="82"/>
      <c r="G1194" s="82"/>
      <c r="H1194" s="82"/>
      <c r="I1194" s="83"/>
    </row>
    <row r="1195" spans="1:9" x14ac:dyDescent="0.3">
      <c r="A1195" s="81"/>
      <c r="B1195" s="82"/>
      <c r="C1195" s="84"/>
      <c r="D1195" s="82"/>
      <c r="E1195" s="82"/>
      <c r="F1195" s="82"/>
      <c r="G1195" s="82"/>
      <c r="H1195" s="82"/>
      <c r="I1195" s="83"/>
    </row>
    <row r="1196" spans="1:9" x14ac:dyDescent="0.3">
      <c r="A1196" s="81"/>
      <c r="B1196" s="82"/>
      <c r="C1196" s="84"/>
      <c r="D1196" s="82"/>
      <c r="E1196" s="82"/>
      <c r="F1196" s="82"/>
      <c r="G1196" s="82"/>
      <c r="H1196" s="82"/>
      <c r="I1196" s="83"/>
    </row>
    <row r="1197" spans="1:9" x14ac:dyDescent="0.3">
      <c r="A1197" s="81"/>
      <c r="B1197" s="82"/>
      <c r="C1197" s="84"/>
      <c r="D1197" s="82"/>
      <c r="E1197" s="82"/>
      <c r="F1197" s="82"/>
      <c r="G1197" s="82"/>
      <c r="H1197" s="82"/>
      <c r="I1197" s="83"/>
    </row>
    <row r="1198" spans="1:9" x14ac:dyDescent="0.3">
      <c r="A1198" s="81"/>
      <c r="B1198" s="82"/>
      <c r="C1198" s="84"/>
      <c r="D1198" s="82"/>
      <c r="E1198" s="82"/>
      <c r="F1198" s="82"/>
      <c r="G1198" s="82"/>
      <c r="H1198" s="82"/>
      <c r="I1198" s="83"/>
    </row>
    <row r="1199" spans="1:9" x14ac:dyDescent="0.3">
      <c r="A1199" s="81"/>
      <c r="B1199" s="82"/>
      <c r="C1199" s="84"/>
      <c r="D1199" s="82"/>
      <c r="E1199" s="82"/>
      <c r="F1199" s="82"/>
      <c r="G1199" s="82"/>
      <c r="H1199" s="82"/>
      <c r="I1199" s="83"/>
    </row>
    <row r="1200" spans="1:9" x14ac:dyDescent="0.3">
      <c r="A1200" s="81"/>
      <c r="B1200" s="82"/>
      <c r="C1200" s="84"/>
      <c r="D1200" s="82"/>
      <c r="E1200" s="82"/>
      <c r="F1200" s="82"/>
      <c r="G1200" s="82"/>
      <c r="H1200" s="82"/>
      <c r="I1200" s="83"/>
    </row>
    <row r="1201" spans="1:9" x14ac:dyDescent="0.3">
      <c r="A1201" s="81"/>
      <c r="B1201" s="82"/>
      <c r="C1201" s="84"/>
      <c r="D1201" s="82"/>
      <c r="E1201" s="82"/>
      <c r="F1201" s="82"/>
      <c r="G1201" s="82"/>
      <c r="H1201" s="82"/>
      <c r="I1201" s="83"/>
    </row>
    <row r="1202" spans="1:9" x14ac:dyDescent="0.3">
      <c r="A1202" s="81"/>
      <c r="B1202" s="82"/>
      <c r="C1202" s="84"/>
      <c r="D1202" s="82"/>
      <c r="E1202" s="82"/>
      <c r="F1202" s="82"/>
      <c r="G1202" s="82"/>
      <c r="H1202" s="82"/>
      <c r="I1202" s="83"/>
    </row>
    <row r="1203" spans="1:9" x14ac:dyDescent="0.3">
      <c r="A1203" s="81"/>
      <c r="B1203" s="82"/>
      <c r="C1203" s="84"/>
      <c r="D1203" s="82"/>
      <c r="E1203" s="82"/>
      <c r="F1203" s="82"/>
      <c r="G1203" s="82"/>
      <c r="H1203" s="82"/>
      <c r="I1203" s="83"/>
    </row>
    <row r="1204" spans="1:9" x14ac:dyDescent="0.3">
      <c r="A1204" s="81"/>
      <c r="B1204" s="82"/>
      <c r="C1204" s="84"/>
      <c r="D1204" s="82"/>
      <c r="E1204" s="82"/>
      <c r="F1204" s="82"/>
      <c r="G1204" s="82"/>
      <c r="H1204" s="82"/>
      <c r="I1204" s="83"/>
    </row>
    <row r="1205" spans="1:9" x14ac:dyDescent="0.3">
      <c r="A1205" s="81"/>
      <c r="B1205" s="82"/>
      <c r="C1205" s="84"/>
      <c r="D1205" s="82"/>
      <c r="E1205" s="82"/>
      <c r="F1205" s="82"/>
      <c r="G1205" s="82"/>
      <c r="H1205" s="82"/>
      <c r="I1205" s="83"/>
    </row>
    <row r="1206" spans="1:9" x14ac:dyDescent="0.3">
      <c r="A1206" s="81"/>
      <c r="B1206" s="82"/>
      <c r="C1206" s="84"/>
      <c r="D1206" s="82"/>
      <c r="E1206" s="82"/>
      <c r="F1206" s="82"/>
      <c r="G1206" s="82"/>
      <c r="H1206" s="82"/>
      <c r="I1206" s="83"/>
    </row>
    <row r="1207" spans="1:9" x14ac:dyDescent="0.3">
      <c r="A1207" s="81"/>
      <c r="B1207" s="82"/>
      <c r="C1207" s="84"/>
      <c r="D1207" s="82"/>
      <c r="E1207" s="82"/>
      <c r="F1207" s="82"/>
      <c r="G1207" s="82"/>
      <c r="H1207" s="82"/>
      <c r="I1207" s="83"/>
    </row>
    <row r="1208" spans="1:9" x14ac:dyDescent="0.3">
      <c r="A1208" s="81"/>
      <c r="B1208" s="82"/>
      <c r="C1208" s="84"/>
      <c r="D1208" s="82"/>
      <c r="E1208" s="82"/>
      <c r="F1208" s="82"/>
      <c r="G1208" s="82"/>
      <c r="H1208" s="82"/>
      <c r="I1208" s="83"/>
    </row>
    <row r="1209" spans="1:9" x14ac:dyDescent="0.3">
      <c r="A1209" s="81"/>
      <c r="B1209" s="82"/>
      <c r="C1209" s="84"/>
      <c r="D1209" s="82"/>
      <c r="E1209" s="82"/>
      <c r="F1209" s="82"/>
      <c r="G1209" s="82"/>
      <c r="H1209" s="82"/>
      <c r="I1209" s="83"/>
    </row>
    <row r="1210" spans="1:9" x14ac:dyDescent="0.3">
      <c r="A1210" s="81"/>
      <c r="B1210" s="82"/>
      <c r="C1210" s="84"/>
      <c r="D1210" s="82"/>
      <c r="E1210" s="82"/>
      <c r="F1210" s="82"/>
      <c r="G1210" s="82"/>
      <c r="H1210" s="82"/>
      <c r="I1210" s="83"/>
    </row>
    <row r="1211" spans="1:9" x14ac:dyDescent="0.3">
      <c r="A1211" s="81"/>
      <c r="B1211" s="82"/>
      <c r="C1211" s="84"/>
      <c r="D1211" s="82"/>
      <c r="E1211" s="82"/>
      <c r="F1211" s="82"/>
      <c r="G1211" s="82"/>
      <c r="H1211" s="82"/>
      <c r="I1211" s="83"/>
    </row>
    <row r="1212" spans="1:9" x14ac:dyDescent="0.3">
      <c r="A1212" s="81"/>
      <c r="B1212" s="82"/>
      <c r="C1212" s="84"/>
      <c r="D1212" s="82"/>
      <c r="E1212" s="82"/>
      <c r="F1212" s="82"/>
      <c r="G1212" s="82"/>
      <c r="H1212" s="82"/>
      <c r="I1212" s="83"/>
    </row>
    <row r="1213" spans="1:9" x14ac:dyDescent="0.3">
      <c r="A1213" s="81"/>
      <c r="B1213" s="82"/>
      <c r="C1213" s="84"/>
      <c r="D1213" s="82"/>
      <c r="E1213" s="82"/>
      <c r="F1213" s="82"/>
      <c r="G1213" s="82"/>
      <c r="H1213" s="82"/>
      <c r="I1213" s="83"/>
    </row>
    <row r="1214" spans="1:9" x14ac:dyDescent="0.3">
      <c r="A1214" s="81"/>
      <c r="B1214" s="82"/>
      <c r="C1214" s="84"/>
      <c r="D1214" s="82"/>
      <c r="E1214" s="82"/>
      <c r="F1214" s="82"/>
      <c r="G1214" s="82"/>
      <c r="H1214" s="82"/>
      <c r="I1214" s="83"/>
    </row>
    <row r="1215" spans="1:9" x14ac:dyDescent="0.3">
      <c r="A1215" s="81"/>
      <c r="B1215" s="82"/>
      <c r="C1215" s="84"/>
      <c r="D1215" s="82"/>
      <c r="E1215" s="82"/>
      <c r="F1215" s="82"/>
      <c r="G1215" s="82"/>
      <c r="H1215" s="82"/>
      <c r="I1215" s="83"/>
    </row>
    <row r="1216" spans="1:9" x14ac:dyDescent="0.3">
      <c r="A1216" s="81"/>
      <c r="B1216" s="82"/>
      <c r="C1216" s="84"/>
      <c r="D1216" s="82"/>
      <c r="E1216" s="82"/>
      <c r="F1216" s="82"/>
      <c r="G1216" s="82"/>
      <c r="H1216" s="82"/>
      <c r="I1216" s="83"/>
    </row>
    <row r="1217" spans="1:9" x14ac:dyDescent="0.3">
      <c r="A1217" s="81"/>
      <c r="B1217" s="82"/>
      <c r="C1217" s="84"/>
      <c r="D1217" s="82"/>
      <c r="E1217" s="82"/>
      <c r="F1217" s="82"/>
      <c r="G1217" s="82"/>
      <c r="H1217" s="82"/>
      <c r="I1217" s="83"/>
    </row>
    <row r="1218" spans="1:9" x14ac:dyDescent="0.3">
      <c r="A1218" s="81"/>
      <c r="B1218" s="82"/>
      <c r="C1218" s="84"/>
      <c r="D1218" s="82"/>
      <c r="E1218" s="82"/>
      <c r="F1218" s="82"/>
      <c r="G1218" s="82"/>
      <c r="H1218" s="82"/>
      <c r="I1218" s="83"/>
    </row>
    <row r="1219" spans="1:9" x14ac:dyDescent="0.3">
      <c r="A1219" s="81"/>
      <c r="B1219" s="82"/>
      <c r="C1219" s="84"/>
      <c r="D1219" s="82"/>
      <c r="E1219" s="82"/>
      <c r="F1219" s="82"/>
      <c r="G1219" s="82"/>
      <c r="H1219" s="82"/>
      <c r="I1219" s="83"/>
    </row>
    <row r="1220" spans="1:9" x14ac:dyDescent="0.3">
      <c r="A1220" s="81"/>
      <c r="B1220" s="82"/>
      <c r="C1220" s="84"/>
      <c r="D1220" s="82"/>
      <c r="E1220" s="82"/>
      <c r="F1220" s="82"/>
      <c r="G1220" s="82"/>
      <c r="H1220" s="82"/>
      <c r="I1220" s="83"/>
    </row>
    <row r="1221" spans="1:9" x14ac:dyDescent="0.3">
      <c r="A1221" s="81"/>
      <c r="B1221" s="82"/>
      <c r="C1221" s="84"/>
      <c r="D1221" s="82"/>
      <c r="E1221" s="82"/>
      <c r="F1221" s="82"/>
      <c r="G1221" s="82"/>
      <c r="H1221" s="82"/>
      <c r="I1221" s="83"/>
    </row>
    <row r="1222" spans="1:9" x14ac:dyDescent="0.3">
      <c r="A1222" s="81"/>
      <c r="B1222" s="82"/>
      <c r="C1222" s="84"/>
      <c r="D1222" s="82"/>
      <c r="E1222" s="82"/>
      <c r="F1222" s="82"/>
      <c r="G1222" s="82"/>
      <c r="H1222" s="82"/>
      <c r="I1222" s="83"/>
    </row>
    <row r="1223" spans="1:9" x14ac:dyDescent="0.3">
      <c r="A1223" s="81"/>
      <c r="B1223" s="82"/>
      <c r="C1223" s="84"/>
      <c r="D1223" s="82"/>
      <c r="E1223" s="82"/>
      <c r="F1223" s="82"/>
      <c r="G1223" s="82"/>
      <c r="H1223" s="82"/>
      <c r="I1223" s="83"/>
    </row>
    <row r="1224" spans="1:9" x14ac:dyDescent="0.3">
      <c r="A1224" s="81"/>
      <c r="B1224" s="82"/>
      <c r="C1224" s="84"/>
      <c r="D1224" s="82"/>
      <c r="E1224" s="82"/>
      <c r="F1224" s="82"/>
      <c r="G1224" s="82"/>
      <c r="H1224" s="82"/>
      <c r="I1224" s="83"/>
    </row>
    <row r="1225" spans="1:9" x14ac:dyDescent="0.3">
      <c r="A1225" s="81"/>
      <c r="B1225" s="82"/>
      <c r="C1225" s="84"/>
      <c r="D1225" s="82"/>
      <c r="E1225" s="82"/>
      <c r="F1225" s="82"/>
      <c r="G1225" s="82"/>
      <c r="H1225" s="82"/>
      <c r="I1225" s="83"/>
    </row>
    <row r="1226" spans="1:9" x14ac:dyDescent="0.3">
      <c r="A1226" s="81"/>
      <c r="B1226" s="82"/>
      <c r="C1226" s="84"/>
      <c r="D1226" s="82"/>
      <c r="E1226" s="82"/>
      <c r="F1226" s="82"/>
      <c r="G1226" s="82"/>
      <c r="H1226" s="82"/>
      <c r="I1226" s="83"/>
    </row>
    <row r="1227" spans="1:9" x14ac:dyDescent="0.3">
      <c r="A1227" s="81"/>
      <c r="B1227" s="82"/>
      <c r="C1227" s="84"/>
      <c r="D1227" s="82"/>
      <c r="E1227" s="82"/>
      <c r="F1227" s="82"/>
      <c r="G1227" s="82"/>
      <c r="H1227" s="82"/>
      <c r="I1227" s="83"/>
    </row>
    <row r="1228" spans="1:9" x14ac:dyDescent="0.3">
      <c r="A1228" s="81"/>
      <c r="B1228" s="82"/>
      <c r="C1228" s="84"/>
      <c r="D1228" s="82"/>
      <c r="E1228" s="82"/>
      <c r="F1228" s="82"/>
      <c r="G1228" s="82"/>
      <c r="H1228" s="82"/>
      <c r="I1228" s="83"/>
    </row>
    <row r="1229" spans="1:9" x14ac:dyDescent="0.3">
      <c r="A1229" s="81"/>
      <c r="B1229" s="82"/>
      <c r="C1229" s="84"/>
      <c r="D1229" s="82"/>
      <c r="E1229" s="82"/>
      <c r="F1229" s="82"/>
      <c r="G1229" s="82"/>
      <c r="H1229" s="82"/>
      <c r="I1229" s="83"/>
    </row>
    <row r="1230" spans="1:9" x14ac:dyDescent="0.3">
      <c r="A1230" s="81"/>
      <c r="B1230" s="82"/>
      <c r="C1230" s="84"/>
      <c r="D1230" s="82"/>
      <c r="E1230" s="82"/>
      <c r="F1230" s="82"/>
      <c r="G1230" s="82"/>
      <c r="H1230" s="82"/>
      <c r="I1230" s="83"/>
    </row>
    <row r="1231" spans="1:9" x14ac:dyDescent="0.3">
      <c r="A1231" s="81"/>
      <c r="B1231" s="82"/>
      <c r="C1231" s="84"/>
      <c r="D1231" s="82"/>
      <c r="E1231" s="82"/>
      <c r="F1231" s="82"/>
      <c r="G1231" s="82"/>
      <c r="H1231" s="82"/>
      <c r="I1231" s="83"/>
    </row>
    <row r="1232" spans="1:9" x14ac:dyDescent="0.3">
      <c r="A1232" s="81"/>
      <c r="B1232" s="82"/>
      <c r="C1232" s="84"/>
      <c r="D1232" s="82"/>
      <c r="E1232" s="82"/>
      <c r="F1232" s="82"/>
      <c r="G1232" s="82"/>
      <c r="H1232" s="82"/>
      <c r="I1232" s="83"/>
    </row>
    <row r="1233" spans="1:9" x14ac:dyDescent="0.3">
      <c r="A1233" s="81"/>
      <c r="B1233" s="82"/>
      <c r="C1233" s="84"/>
      <c r="D1233" s="82"/>
      <c r="E1233" s="82"/>
      <c r="F1233" s="82"/>
      <c r="G1233" s="82"/>
      <c r="H1233" s="82"/>
      <c r="I1233" s="83"/>
    </row>
    <row r="1234" spans="1:9" x14ac:dyDescent="0.3">
      <c r="A1234" s="81"/>
      <c r="B1234" s="82"/>
      <c r="C1234" s="84"/>
      <c r="D1234" s="82"/>
      <c r="E1234" s="82"/>
      <c r="F1234" s="82"/>
      <c r="G1234" s="82"/>
      <c r="H1234" s="82"/>
      <c r="I1234" s="83"/>
    </row>
    <row r="1235" spans="1:9" x14ac:dyDescent="0.3">
      <c r="A1235" s="81"/>
      <c r="B1235" s="82"/>
      <c r="C1235" s="84"/>
      <c r="D1235" s="82"/>
      <c r="E1235" s="82"/>
      <c r="F1235" s="82"/>
      <c r="G1235" s="82"/>
      <c r="H1235" s="82"/>
      <c r="I1235" s="83"/>
    </row>
    <row r="1236" spans="1:9" x14ac:dyDescent="0.3">
      <c r="A1236" s="81"/>
      <c r="B1236" s="82"/>
      <c r="C1236" s="84"/>
      <c r="D1236" s="82"/>
      <c r="E1236" s="82"/>
      <c r="F1236" s="82"/>
      <c r="G1236" s="82"/>
      <c r="H1236" s="82"/>
      <c r="I1236" s="83"/>
    </row>
    <row r="1237" spans="1:9" x14ac:dyDescent="0.3">
      <c r="A1237" s="81"/>
      <c r="B1237" s="82"/>
      <c r="C1237" s="84"/>
      <c r="D1237" s="82"/>
      <c r="E1237" s="82"/>
      <c r="F1237" s="82"/>
      <c r="G1237" s="82"/>
      <c r="H1237" s="82"/>
      <c r="I1237" s="83"/>
    </row>
    <row r="1238" spans="1:9" x14ac:dyDescent="0.3">
      <c r="A1238" s="81"/>
      <c r="B1238" s="82"/>
      <c r="C1238" s="84"/>
      <c r="D1238" s="82"/>
      <c r="E1238" s="82"/>
      <c r="F1238" s="82"/>
      <c r="G1238" s="82"/>
      <c r="H1238" s="82"/>
      <c r="I1238" s="83"/>
    </row>
    <row r="1239" spans="1:9" x14ac:dyDescent="0.3">
      <c r="A1239" s="81"/>
      <c r="B1239" s="82"/>
      <c r="C1239" s="84"/>
      <c r="D1239" s="82"/>
      <c r="E1239" s="82"/>
      <c r="F1239" s="82"/>
      <c r="G1239" s="82"/>
      <c r="H1239" s="82"/>
      <c r="I1239" s="83"/>
    </row>
    <row r="1240" spans="1:9" x14ac:dyDescent="0.3">
      <c r="A1240" s="81"/>
      <c r="B1240" s="82"/>
      <c r="C1240" s="84"/>
      <c r="D1240" s="82"/>
      <c r="E1240" s="82"/>
      <c r="F1240" s="82"/>
      <c r="G1240" s="82"/>
      <c r="H1240" s="82"/>
      <c r="I1240" s="83"/>
    </row>
    <row r="1241" spans="1:9" x14ac:dyDescent="0.3">
      <c r="A1241" s="81"/>
      <c r="B1241" s="82"/>
      <c r="C1241" s="84"/>
      <c r="D1241" s="82"/>
      <c r="E1241" s="82"/>
      <c r="F1241" s="82"/>
      <c r="G1241" s="82"/>
      <c r="H1241" s="82"/>
      <c r="I1241" s="83"/>
    </row>
    <row r="1242" spans="1:9" x14ac:dyDescent="0.3">
      <c r="A1242" s="81"/>
      <c r="B1242" s="82"/>
      <c r="C1242" s="84"/>
      <c r="D1242" s="82"/>
      <c r="E1242" s="82"/>
      <c r="F1242" s="82"/>
      <c r="G1242" s="82"/>
      <c r="H1242" s="82"/>
      <c r="I1242" s="83"/>
    </row>
    <row r="1243" spans="1:9" x14ac:dyDescent="0.3">
      <c r="A1243" s="81"/>
      <c r="B1243" s="82"/>
      <c r="C1243" s="84"/>
      <c r="D1243" s="82"/>
      <c r="E1243" s="82"/>
      <c r="F1243" s="82"/>
      <c r="G1243" s="82"/>
      <c r="H1243" s="82"/>
      <c r="I1243" s="83"/>
    </row>
    <row r="1244" spans="1:9" x14ac:dyDescent="0.3">
      <c r="A1244" s="81"/>
      <c r="B1244" s="82"/>
      <c r="C1244" s="84"/>
      <c r="D1244" s="82"/>
      <c r="E1244" s="82"/>
      <c r="F1244" s="82"/>
      <c r="G1244" s="82"/>
      <c r="H1244" s="82"/>
      <c r="I1244" s="83"/>
    </row>
    <row r="1245" spans="1:9" x14ac:dyDescent="0.3">
      <c r="A1245" s="81"/>
      <c r="B1245" s="82"/>
      <c r="C1245" s="84"/>
      <c r="D1245" s="82"/>
      <c r="E1245" s="82"/>
      <c r="F1245" s="82"/>
      <c r="G1245" s="82"/>
      <c r="H1245" s="82"/>
      <c r="I1245" s="83"/>
    </row>
    <row r="1246" spans="1:9" x14ac:dyDescent="0.3">
      <c r="A1246" s="81"/>
      <c r="B1246" s="82"/>
      <c r="C1246" s="84"/>
      <c r="D1246" s="82"/>
      <c r="E1246" s="82"/>
      <c r="F1246" s="82"/>
      <c r="G1246" s="82"/>
      <c r="H1246" s="82"/>
      <c r="I1246" s="83"/>
    </row>
    <row r="1247" spans="1:9" x14ac:dyDescent="0.3">
      <c r="A1247" s="81"/>
      <c r="B1247" s="82"/>
      <c r="C1247" s="84"/>
      <c r="D1247" s="82"/>
      <c r="E1247" s="82"/>
      <c r="F1247" s="82"/>
      <c r="G1247" s="82"/>
      <c r="H1247" s="82"/>
      <c r="I1247" s="83"/>
    </row>
    <row r="1248" spans="1:9" x14ac:dyDescent="0.3">
      <c r="A1248" s="81"/>
      <c r="B1248" s="82"/>
      <c r="C1248" s="84"/>
      <c r="D1248" s="82"/>
      <c r="E1248" s="82"/>
      <c r="F1248" s="82"/>
      <c r="G1248" s="82"/>
      <c r="H1248" s="82"/>
      <c r="I1248" s="83"/>
    </row>
    <row r="1249" spans="1:9" x14ac:dyDescent="0.3">
      <c r="A1249" s="81"/>
      <c r="B1249" s="82"/>
      <c r="C1249" s="84"/>
      <c r="D1249" s="82"/>
      <c r="E1249" s="82"/>
      <c r="F1249" s="82"/>
      <c r="G1249" s="82"/>
      <c r="H1249" s="82"/>
      <c r="I1249" s="83"/>
    </row>
    <row r="1250" spans="1:9" x14ac:dyDescent="0.3">
      <c r="A1250" s="81"/>
      <c r="B1250" s="82"/>
      <c r="C1250" s="84"/>
      <c r="D1250" s="82"/>
      <c r="E1250" s="82"/>
      <c r="F1250" s="82"/>
      <c r="G1250" s="82"/>
      <c r="H1250" s="82"/>
      <c r="I1250" s="83"/>
    </row>
    <row r="1251" spans="1:9" x14ac:dyDescent="0.3">
      <c r="A1251" s="81"/>
      <c r="B1251" s="82"/>
      <c r="C1251" s="84"/>
      <c r="D1251" s="82"/>
      <c r="E1251" s="82"/>
      <c r="F1251" s="82"/>
      <c r="G1251" s="82"/>
      <c r="H1251" s="82"/>
      <c r="I1251" s="83"/>
    </row>
    <row r="1252" spans="1:9" x14ac:dyDescent="0.3">
      <c r="A1252" s="81"/>
      <c r="B1252" s="82"/>
      <c r="C1252" s="84"/>
      <c r="D1252" s="82"/>
      <c r="E1252" s="82"/>
      <c r="F1252" s="82"/>
      <c r="G1252" s="82"/>
      <c r="H1252" s="82"/>
      <c r="I1252" s="83"/>
    </row>
    <row r="1253" spans="1:9" x14ac:dyDescent="0.3">
      <c r="A1253" s="81"/>
      <c r="B1253" s="82"/>
      <c r="C1253" s="84"/>
      <c r="D1253" s="82"/>
      <c r="E1253" s="82"/>
      <c r="F1253" s="82"/>
      <c r="G1253" s="82"/>
      <c r="H1253" s="82"/>
      <c r="I1253" s="83"/>
    </row>
    <row r="1254" spans="1:9" x14ac:dyDescent="0.3">
      <c r="A1254" s="81"/>
      <c r="B1254" s="82"/>
      <c r="C1254" s="84"/>
      <c r="D1254" s="82"/>
      <c r="E1254" s="82"/>
      <c r="F1254" s="82"/>
      <c r="G1254" s="82"/>
      <c r="H1254" s="82"/>
      <c r="I1254" s="83"/>
    </row>
    <row r="1255" spans="1:9" x14ac:dyDescent="0.3">
      <c r="A1255" s="81"/>
      <c r="B1255" s="82"/>
      <c r="C1255" s="84"/>
      <c r="D1255" s="82"/>
      <c r="E1255" s="82"/>
      <c r="F1255" s="82"/>
      <c r="G1255" s="82"/>
      <c r="H1255" s="82"/>
      <c r="I1255" s="83"/>
    </row>
    <row r="1256" spans="1:9" x14ac:dyDescent="0.3">
      <c r="A1256" s="81"/>
      <c r="B1256" s="82"/>
      <c r="C1256" s="84"/>
      <c r="D1256" s="82"/>
      <c r="E1256" s="82"/>
      <c r="F1256" s="82"/>
      <c r="G1256" s="82"/>
      <c r="H1256" s="82"/>
      <c r="I1256" s="83"/>
    </row>
    <row r="1257" spans="1:9" x14ac:dyDescent="0.3">
      <c r="A1257" s="81"/>
      <c r="B1257" s="82"/>
      <c r="C1257" s="84"/>
      <c r="D1257" s="82"/>
      <c r="E1257" s="82"/>
      <c r="F1257" s="82"/>
      <c r="G1257" s="82"/>
      <c r="H1257" s="82"/>
      <c r="I1257" s="83"/>
    </row>
    <row r="1258" spans="1:9" x14ac:dyDescent="0.3">
      <c r="A1258" s="81"/>
      <c r="B1258" s="82"/>
      <c r="C1258" s="84"/>
      <c r="D1258" s="82"/>
      <c r="E1258" s="82"/>
      <c r="F1258" s="82"/>
      <c r="G1258" s="82"/>
      <c r="H1258" s="82"/>
      <c r="I1258" s="83"/>
    </row>
    <row r="1259" spans="1:9" x14ac:dyDescent="0.3">
      <c r="A1259" s="81"/>
      <c r="B1259" s="82"/>
      <c r="C1259" s="84"/>
      <c r="D1259" s="82"/>
      <c r="E1259" s="82"/>
      <c r="F1259" s="82"/>
      <c r="G1259" s="82"/>
      <c r="H1259" s="82"/>
      <c r="I1259" s="83"/>
    </row>
    <row r="1260" spans="1:9" x14ac:dyDescent="0.3">
      <c r="A1260" s="81"/>
      <c r="B1260" s="82"/>
      <c r="C1260" s="84"/>
      <c r="D1260" s="82"/>
      <c r="E1260" s="82"/>
      <c r="F1260" s="82"/>
      <c r="G1260" s="82"/>
      <c r="H1260" s="82"/>
      <c r="I1260" s="83"/>
    </row>
    <row r="1261" spans="1:9" x14ac:dyDescent="0.3">
      <c r="A1261" s="81"/>
      <c r="B1261" s="82"/>
      <c r="C1261" s="84"/>
      <c r="D1261" s="82"/>
      <c r="E1261" s="82"/>
      <c r="F1261" s="82"/>
      <c r="G1261" s="82"/>
      <c r="H1261" s="82"/>
      <c r="I1261" s="83"/>
    </row>
    <row r="1262" spans="1:9" x14ac:dyDescent="0.3">
      <c r="A1262" s="81"/>
      <c r="B1262" s="82"/>
      <c r="C1262" s="84"/>
      <c r="D1262" s="82"/>
      <c r="E1262" s="82"/>
      <c r="F1262" s="82"/>
      <c r="G1262" s="82"/>
      <c r="H1262" s="82"/>
      <c r="I1262" s="83"/>
    </row>
    <row r="1263" spans="1:9" x14ac:dyDescent="0.3">
      <c r="A1263" s="81"/>
      <c r="B1263" s="82"/>
      <c r="C1263" s="84"/>
      <c r="D1263" s="82"/>
      <c r="E1263" s="82"/>
      <c r="F1263" s="82"/>
      <c r="G1263" s="82"/>
      <c r="H1263" s="82"/>
      <c r="I1263" s="83"/>
    </row>
    <row r="1264" spans="1:9" x14ac:dyDescent="0.3">
      <c r="A1264" s="81"/>
      <c r="B1264" s="82"/>
      <c r="C1264" s="84"/>
      <c r="D1264" s="82"/>
      <c r="E1264" s="82"/>
      <c r="F1264" s="82"/>
      <c r="G1264" s="82"/>
      <c r="H1264" s="82"/>
      <c r="I1264" s="83"/>
    </row>
    <row r="1265" spans="1:9" x14ac:dyDescent="0.3">
      <c r="A1265" s="81"/>
      <c r="B1265" s="82"/>
      <c r="C1265" s="84"/>
      <c r="D1265" s="82"/>
      <c r="E1265" s="82"/>
      <c r="F1265" s="82"/>
      <c r="G1265" s="82"/>
      <c r="H1265" s="82"/>
      <c r="I1265" s="83"/>
    </row>
    <row r="1266" spans="1:9" x14ac:dyDescent="0.3">
      <c r="A1266" s="81"/>
      <c r="B1266" s="82"/>
      <c r="C1266" s="84"/>
      <c r="D1266" s="82"/>
      <c r="E1266" s="82"/>
      <c r="F1266" s="82"/>
      <c r="G1266" s="82"/>
      <c r="H1266" s="82"/>
      <c r="I1266" s="83"/>
    </row>
    <row r="1267" spans="1:9" x14ac:dyDescent="0.3">
      <c r="A1267" s="81"/>
      <c r="B1267" s="82"/>
      <c r="C1267" s="84"/>
      <c r="D1267" s="82"/>
      <c r="E1267" s="82"/>
      <c r="F1267" s="82"/>
      <c r="G1267" s="82"/>
      <c r="H1267" s="82"/>
      <c r="I1267" s="83"/>
    </row>
    <row r="1268" spans="1:9" x14ac:dyDescent="0.3">
      <c r="A1268" s="81"/>
      <c r="B1268" s="82"/>
      <c r="C1268" s="84"/>
      <c r="D1268" s="82"/>
      <c r="E1268" s="82"/>
      <c r="F1268" s="82"/>
      <c r="G1268" s="82"/>
      <c r="H1268" s="82"/>
      <c r="I1268" s="83"/>
    </row>
    <row r="1269" spans="1:9" x14ac:dyDescent="0.3">
      <c r="A1269" s="81"/>
      <c r="B1269" s="82"/>
      <c r="C1269" s="84"/>
      <c r="D1269" s="82"/>
      <c r="E1269" s="82"/>
      <c r="F1269" s="82"/>
      <c r="G1269" s="82"/>
      <c r="H1269" s="82"/>
      <c r="I1269" s="83"/>
    </row>
    <row r="1270" spans="1:9" x14ac:dyDescent="0.3">
      <c r="A1270" s="81"/>
      <c r="B1270" s="82"/>
      <c r="C1270" s="84"/>
      <c r="D1270" s="82"/>
      <c r="E1270" s="82"/>
      <c r="F1270" s="82"/>
      <c r="G1270" s="82"/>
      <c r="H1270" s="82"/>
      <c r="I1270" s="83"/>
    </row>
    <row r="1271" spans="1:9" x14ac:dyDescent="0.3">
      <c r="A1271" s="81"/>
      <c r="B1271" s="82"/>
      <c r="C1271" s="84"/>
      <c r="D1271" s="82"/>
      <c r="E1271" s="82"/>
      <c r="F1271" s="82"/>
      <c r="G1271" s="82"/>
      <c r="H1271" s="82"/>
      <c r="I1271" s="83"/>
    </row>
    <row r="1272" spans="1:9" x14ac:dyDescent="0.3">
      <c r="A1272" s="81"/>
      <c r="B1272" s="82"/>
      <c r="C1272" s="84"/>
      <c r="D1272" s="82"/>
      <c r="E1272" s="82"/>
      <c r="F1272" s="82"/>
      <c r="G1272" s="82"/>
      <c r="H1272" s="82"/>
      <c r="I1272" s="83"/>
    </row>
    <row r="1273" spans="1:9" x14ac:dyDescent="0.3">
      <c r="A1273" s="81"/>
      <c r="B1273" s="82"/>
      <c r="C1273" s="84"/>
      <c r="D1273" s="82"/>
      <c r="E1273" s="82"/>
      <c r="F1273" s="82"/>
      <c r="G1273" s="82"/>
      <c r="H1273" s="82"/>
      <c r="I1273" s="83"/>
    </row>
    <row r="1274" spans="1:9" x14ac:dyDescent="0.3">
      <c r="A1274" s="81"/>
      <c r="B1274" s="82"/>
      <c r="C1274" s="84"/>
      <c r="D1274" s="82"/>
      <c r="E1274" s="82"/>
      <c r="F1274" s="82"/>
      <c r="G1274" s="82"/>
      <c r="H1274" s="82"/>
      <c r="I1274" s="83"/>
    </row>
    <row r="1275" spans="1:9" x14ac:dyDescent="0.3">
      <c r="A1275" s="81"/>
      <c r="B1275" s="82"/>
      <c r="C1275" s="84"/>
      <c r="D1275" s="82"/>
      <c r="E1275" s="82"/>
      <c r="F1275" s="82"/>
      <c r="G1275" s="82"/>
      <c r="H1275" s="82"/>
      <c r="I1275" s="83"/>
    </row>
    <row r="1276" spans="1:9" x14ac:dyDescent="0.3">
      <c r="A1276" s="81"/>
      <c r="B1276" s="82"/>
      <c r="C1276" s="84"/>
      <c r="D1276" s="82"/>
      <c r="E1276" s="82"/>
      <c r="F1276" s="82"/>
      <c r="G1276" s="82"/>
      <c r="H1276" s="82"/>
      <c r="I1276" s="83"/>
    </row>
    <row r="1277" spans="1:9" x14ac:dyDescent="0.3">
      <c r="A1277" s="81"/>
      <c r="B1277" s="82"/>
      <c r="C1277" s="84"/>
      <c r="D1277" s="82"/>
      <c r="E1277" s="82"/>
      <c r="F1277" s="82"/>
      <c r="G1277" s="82"/>
      <c r="H1277" s="82"/>
      <c r="I1277" s="83"/>
    </row>
    <row r="1278" spans="1:9" x14ac:dyDescent="0.3">
      <c r="A1278" s="81"/>
      <c r="B1278" s="82"/>
      <c r="C1278" s="84"/>
      <c r="D1278" s="82"/>
      <c r="E1278" s="82"/>
      <c r="F1278" s="82"/>
      <c r="G1278" s="82"/>
      <c r="H1278" s="82"/>
      <c r="I1278" s="83"/>
    </row>
    <row r="1279" spans="1:9" x14ac:dyDescent="0.3">
      <c r="A1279" s="81"/>
      <c r="B1279" s="82"/>
      <c r="C1279" s="84"/>
      <c r="D1279" s="82"/>
      <c r="E1279" s="82"/>
      <c r="F1279" s="82"/>
      <c r="G1279" s="82"/>
      <c r="H1279" s="82"/>
      <c r="I1279" s="83"/>
    </row>
    <row r="1280" spans="1:9" x14ac:dyDescent="0.3">
      <c r="A1280" s="81"/>
      <c r="B1280" s="82"/>
      <c r="C1280" s="84"/>
      <c r="D1280" s="82"/>
      <c r="E1280" s="82"/>
      <c r="F1280" s="82"/>
      <c r="G1280" s="82"/>
      <c r="H1280" s="82"/>
      <c r="I1280" s="83"/>
    </row>
    <row r="1281" spans="1:9" x14ac:dyDescent="0.3">
      <c r="A1281" s="81"/>
      <c r="B1281" s="82"/>
      <c r="C1281" s="84"/>
      <c r="D1281" s="82"/>
      <c r="E1281" s="82"/>
      <c r="F1281" s="82"/>
      <c r="G1281" s="82"/>
      <c r="H1281" s="82"/>
      <c r="I1281" s="83"/>
    </row>
    <row r="1282" spans="1:9" x14ac:dyDescent="0.3">
      <c r="A1282" s="81"/>
      <c r="B1282" s="82"/>
      <c r="C1282" s="84"/>
      <c r="D1282" s="82"/>
      <c r="E1282" s="82"/>
      <c r="F1282" s="82"/>
      <c r="G1282" s="82"/>
      <c r="H1282" s="82"/>
      <c r="I1282" s="83"/>
    </row>
    <row r="1283" spans="1:9" x14ac:dyDescent="0.3">
      <c r="A1283" s="81"/>
      <c r="B1283" s="82"/>
      <c r="C1283" s="84"/>
      <c r="D1283" s="82"/>
      <c r="E1283" s="82"/>
      <c r="F1283" s="82"/>
      <c r="G1283" s="82"/>
      <c r="H1283" s="82"/>
      <c r="I1283" s="83"/>
    </row>
    <row r="1284" spans="1:9" x14ac:dyDescent="0.3">
      <c r="A1284" s="81"/>
      <c r="B1284" s="82"/>
      <c r="C1284" s="84"/>
      <c r="D1284" s="82"/>
      <c r="E1284" s="82"/>
      <c r="F1284" s="82"/>
      <c r="G1284" s="82"/>
      <c r="H1284" s="82"/>
      <c r="I1284" s="83"/>
    </row>
    <row r="1285" spans="1:9" x14ac:dyDescent="0.3">
      <c r="A1285" s="81"/>
      <c r="B1285" s="82"/>
      <c r="C1285" s="84"/>
      <c r="D1285" s="82"/>
      <c r="E1285" s="82"/>
      <c r="F1285" s="82"/>
      <c r="G1285" s="82"/>
      <c r="H1285" s="82"/>
      <c r="I1285" s="83"/>
    </row>
    <row r="1286" spans="1:9" x14ac:dyDescent="0.3">
      <c r="A1286" s="81"/>
      <c r="B1286" s="82"/>
      <c r="C1286" s="84"/>
      <c r="D1286" s="82"/>
      <c r="E1286" s="82"/>
      <c r="F1286" s="82"/>
      <c r="G1286" s="82"/>
      <c r="H1286" s="82"/>
      <c r="I1286" s="83"/>
    </row>
    <row r="1287" spans="1:9" x14ac:dyDescent="0.3">
      <c r="A1287" s="81"/>
      <c r="B1287" s="82"/>
      <c r="C1287" s="84"/>
      <c r="D1287" s="82"/>
      <c r="E1287" s="82"/>
      <c r="F1287" s="82"/>
      <c r="G1287" s="82"/>
      <c r="H1287" s="82"/>
      <c r="I1287" s="83"/>
    </row>
    <row r="1288" spans="1:9" x14ac:dyDescent="0.3">
      <c r="A1288" s="81"/>
      <c r="B1288" s="82"/>
      <c r="C1288" s="84"/>
      <c r="D1288" s="82"/>
      <c r="E1288" s="82"/>
      <c r="F1288" s="82"/>
      <c r="G1288" s="82"/>
      <c r="H1288" s="82"/>
      <c r="I1288" s="83"/>
    </row>
    <row r="1289" spans="1:9" x14ac:dyDescent="0.3">
      <c r="A1289" s="81"/>
      <c r="B1289" s="82"/>
      <c r="C1289" s="84"/>
      <c r="D1289" s="82"/>
      <c r="E1289" s="82"/>
      <c r="F1289" s="82"/>
      <c r="G1289" s="82"/>
      <c r="H1289" s="82"/>
      <c r="I1289" s="83"/>
    </row>
    <row r="1290" spans="1:9" x14ac:dyDescent="0.3">
      <c r="A1290" s="81"/>
      <c r="B1290" s="82"/>
      <c r="C1290" s="84"/>
      <c r="D1290" s="82"/>
      <c r="E1290" s="82"/>
      <c r="F1290" s="82"/>
      <c r="G1290" s="82"/>
      <c r="H1290" s="82"/>
      <c r="I1290" s="83"/>
    </row>
    <row r="1291" spans="1:9" x14ac:dyDescent="0.3">
      <c r="A1291" s="81"/>
      <c r="B1291" s="82"/>
      <c r="C1291" s="84"/>
      <c r="D1291" s="82"/>
      <c r="E1291" s="82"/>
      <c r="F1291" s="82"/>
      <c r="G1291" s="82"/>
      <c r="H1291" s="82"/>
      <c r="I1291" s="83"/>
    </row>
    <row r="1292" spans="1:9" x14ac:dyDescent="0.3">
      <c r="A1292" s="81"/>
      <c r="B1292" s="82"/>
      <c r="C1292" s="84"/>
      <c r="D1292" s="82"/>
      <c r="E1292" s="82"/>
      <c r="F1292" s="82"/>
      <c r="G1292" s="82"/>
      <c r="H1292" s="82"/>
      <c r="I1292" s="83"/>
    </row>
    <row r="1293" spans="1:9" x14ac:dyDescent="0.3">
      <c r="A1293" s="81"/>
      <c r="B1293" s="82"/>
      <c r="C1293" s="84"/>
      <c r="D1293" s="82"/>
      <c r="E1293" s="82"/>
      <c r="F1293" s="82"/>
      <c r="G1293" s="82"/>
      <c r="H1293" s="82"/>
      <c r="I1293" s="83"/>
    </row>
    <row r="1294" spans="1:9" x14ac:dyDescent="0.3">
      <c r="A1294" s="81"/>
      <c r="B1294" s="82"/>
      <c r="C1294" s="84"/>
      <c r="D1294" s="82"/>
      <c r="E1294" s="82"/>
      <c r="F1294" s="82"/>
      <c r="G1294" s="82"/>
      <c r="H1294" s="82"/>
      <c r="I1294" s="83"/>
    </row>
    <row r="1295" spans="1:9" x14ac:dyDescent="0.3">
      <c r="A1295" s="81"/>
      <c r="B1295" s="82"/>
      <c r="C1295" s="84"/>
      <c r="D1295" s="82"/>
      <c r="E1295" s="82"/>
      <c r="F1295" s="82"/>
      <c r="G1295" s="82"/>
      <c r="H1295" s="82"/>
      <c r="I1295" s="83"/>
    </row>
    <row r="1296" spans="1:9" x14ac:dyDescent="0.3">
      <c r="A1296" s="81"/>
      <c r="B1296" s="82"/>
      <c r="C1296" s="84"/>
      <c r="D1296" s="82"/>
      <c r="E1296" s="82"/>
      <c r="F1296" s="82"/>
      <c r="G1296" s="82"/>
      <c r="H1296" s="82"/>
      <c r="I1296" s="83"/>
    </row>
    <row r="1297" spans="1:9" x14ac:dyDescent="0.3">
      <c r="A1297" s="81"/>
      <c r="B1297" s="82"/>
      <c r="C1297" s="84"/>
      <c r="D1297" s="82"/>
      <c r="E1297" s="82"/>
      <c r="F1297" s="82"/>
      <c r="G1297" s="82"/>
      <c r="H1297" s="82"/>
      <c r="I1297" s="83"/>
    </row>
    <row r="1298" spans="1:9" x14ac:dyDescent="0.3">
      <c r="A1298" s="81"/>
      <c r="B1298" s="82"/>
      <c r="C1298" s="84"/>
      <c r="D1298" s="82"/>
      <c r="E1298" s="82"/>
      <c r="F1298" s="82"/>
      <c r="G1298" s="82"/>
      <c r="H1298" s="82"/>
      <c r="I1298" s="83"/>
    </row>
    <row r="1299" spans="1:9" x14ac:dyDescent="0.3">
      <c r="A1299" s="81"/>
      <c r="B1299" s="82"/>
      <c r="C1299" s="84"/>
      <c r="D1299" s="82"/>
      <c r="E1299" s="82"/>
      <c r="F1299" s="82"/>
      <c r="G1299" s="82"/>
      <c r="H1299" s="82"/>
      <c r="I1299" s="83"/>
    </row>
    <row r="1300" spans="1:9" x14ac:dyDescent="0.3">
      <c r="A1300" s="81"/>
      <c r="B1300" s="82"/>
      <c r="C1300" s="84"/>
      <c r="D1300" s="82"/>
      <c r="E1300" s="82"/>
      <c r="F1300" s="82"/>
      <c r="G1300" s="82"/>
      <c r="H1300" s="82"/>
      <c r="I1300" s="83"/>
    </row>
    <row r="1301" spans="1:9" x14ac:dyDescent="0.3">
      <c r="A1301" s="81"/>
      <c r="B1301" s="82"/>
      <c r="C1301" s="84"/>
      <c r="D1301" s="82"/>
      <c r="E1301" s="82"/>
      <c r="F1301" s="82"/>
      <c r="G1301" s="82"/>
      <c r="H1301" s="82"/>
      <c r="I1301" s="83"/>
    </row>
    <row r="1302" spans="1:9" x14ac:dyDescent="0.3">
      <c r="A1302" s="81"/>
      <c r="B1302" s="82"/>
      <c r="C1302" s="84"/>
      <c r="D1302" s="82"/>
      <c r="E1302" s="82"/>
      <c r="F1302" s="82"/>
      <c r="G1302" s="82"/>
      <c r="H1302" s="82"/>
      <c r="I1302" s="83"/>
    </row>
    <row r="1303" spans="1:9" x14ac:dyDescent="0.3">
      <c r="A1303" s="81"/>
      <c r="B1303" s="82"/>
      <c r="C1303" s="84"/>
      <c r="D1303" s="82"/>
      <c r="E1303" s="82"/>
      <c r="F1303" s="82"/>
      <c r="G1303" s="82"/>
      <c r="H1303" s="82"/>
      <c r="I1303" s="83"/>
    </row>
    <row r="1304" spans="1:9" x14ac:dyDescent="0.3">
      <c r="A1304" s="81"/>
      <c r="B1304" s="82"/>
      <c r="C1304" s="84"/>
      <c r="D1304" s="82"/>
      <c r="E1304" s="82"/>
      <c r="F1304" s="82"/>
      <c r="G1304" s="82"/>
      <c r="H1304" s="82"/>
      <c r="I1304" s="83"/>
    </row>
    <row r="1305" spans="1:9" x14ac:dyDescent="0.3">
      <c r="A1305" s="81"/>
      <c r="B1305" s="82"/>
      <c r="C1305" s="84"/>
      <c r="D1305" s="82"/>
      <c r="E1305" s="82"/>
      <c r="F1305" s="82"/>
      <c r="G1305" s="82"/>
      <c r="H1305" s="82"/>
      <c r="I1305" s="83"/>
    </row>
    <row r="1306" spans="1:9" x14ac:dyDescent="0.3">
      <c r="A1306" s="81"/>
      <c r="B1306" s="82"/>
      <c r="C1306" s="84"/>
      <c r="D1306" s="82"/>
      <c r="E1306" s="82"/>
      <c r="F1306" s="82"/>
      <c r="G1306" s="82"/>
      <c r="H1306" s="82"/>
      <c r="I1306" s="83"/>
    </row>
    <row r="1307" spans="1:9" x14ac:dyDescent="0.3">
      <c r="A1307" s="81"/>
      <c r="B1307" s="82"/>
      <c r="C1307" s="84"/>
      <c r="D1307" s="82"/>
      <c r="E1307" s="82"/>
      <c r="F1307" s="82"/>
      <c r="G1307" s="82"/>
      <c r="H1307" s="82"/>
      <c r="I1307" s="83"/>
    </row>
    <row r="1308" spans="1:9" x14ac:dyDescent="0.3">
      <c r="A1308" s="81"/>
      <c r="B1308" s="82"/>
      <c r="C1308" s="84"/>
      <c r="D1308" s="82"/>
      <c r="E1308" s="82"/>
      <c r="F1308" s="82"/>
      <c r="G1308" s="82"/>
      <c r="H1308" s="82"/>
      <c r="I1308" s="83"/>
    </row>
    <row r="1309" spans="1:9" x14ac:dyDescent="0.3">
      <c r="A1309" s="81"/>
      <c r="B1309" s="82"/>
      <c r="C1309" s="84"/>
      <c r="D1309" s="82"/>
      <c r="E1309" s="82"/>
      <c r="F1309" s="82"/>
      <c r="G1309" s="82"/>
      <c r="H1309" s="82"/>
      <c r="I1309" s="83"/>
    </row>
    <row r="1310" spans="1:9" x14ac:dyDescent="0.3">
      <c r="A1310" s="81"/>
      <c r="B1310" s="82"/>
      <c r="C1310" s="84"/>
      <c r="D1310" s="82"/>
      <c r="E1310" s="82"/>
      <c r="F1310" s="82"/>
      <c r="G1310" s="82"/>
      <c r="H1310" s="82"/>
      <c r="I1310" s="83"/>
    </row>
    <row r="1311" spans="1:9" x14ac:dyDescent="0.3">
      <c r="A1311" s="81"/>
      <c r="B1311" s="82"/>
      <c r="C1311" s="84"/>
      <c r="D1311" s="82"/>
      <c r="E1311" s="82"/>
      <c r="F1311" s="82"/>
      <c r="G1311" s="82"/>
      <c r="H1311" s="82"/>
      <c r="I1311" s="83"/>
    </row>
    <row r="1312" spans="1:9" x14ac:dyDescent="0.3">
      <c r="A1312" s="81"/>
      <c r="B1312" s="82"/>
      <c r="C1312" s="84"/>
      <c r="D1312" s="82"/>
      <c r="E1312" s="82"/>
      <c r="F1312" s="82"/>
      <c r="G1312" s="82"/>
      <c r="H1312" s="82"/>
      <c r="I1312" s="83"/>
    </row>
    <row r="1313" spans="1:9" x14ac:dyDescent="0.3">
      <c r="A1313" s="81"/>
      <c r="B1313" s="82"/>
      <c r="C1313" s="84"/>
      <c r="D1313" s="82"/>
      <c r="E1313" s="82"/>
      <c r="F1313" s="82"/>
      <c r="G1313" s="82"/>
      <c r="H1313" s="82"/>
      <c r="I1313" s="83"/>
    </row>
    <row r="1314" spans="1:9" x14ac:dyDescent="0.3">
      <c r="A1314" s="81"/>
      <c r="B1314" s="82"/>
      <c r="C1314" s="84"/>
      <c r="D1314" s="82"/>
      <c r="E1314" s="82"/>
      <c r="F1314" s="82"/>
      <c r="G1314" s="82"/>
      <c r="H1314" s="82"/>
      <c r="I1314" s="83"/>
    </row>
    <row r="1315" spans="1:9" x14ac:dyDescent="0.3">
      <c r="A1315" s="81"/>
      <c r="B1315" s="82"/>
      <c r="C1315" s="84"/>
      <c r="D1315" s="82"/>
      <c r="E1315" s="82"/>
      <c r="F1315" s="82"/>
      <c r="G1315" s="82"/>
      <c r="H1315" s="82"/>
      <c r="I1315" s="83"/>
    </row>
    <row r="1316" spans="1:9" x14ac:dyDescent="0.3">
      <c r="A1316" s="81"/>
      <c r="B1316" s="82"/>
      <c r="C1316" s="84"/>
      <c r="D1316" s="82"/>
      <c r="E1316" s="82"/>
      <c r="F1316" s="82"/>
      <c r="G1316" s="82"/>
      <c r="H1316" s="82"/>
      <c r="I1316" s="83"/>
    </row>
    <row r="1317" spans="1:9" x14ac:dyDescent="0.3">
      <c r="A1317" s="81"/>
      <c r="B1317" s="82"/>
      <c r="C1317" s="84"/>
      <c r="D1317" s="82"/>
      <c r="E1317" s="82"/>
      <c r="F1317" s="82"/>
      <c r="G1317" s="82"/>
      <c r="H1317" s="82"/>
      <c r="I1317" s="83"/>
    </row>
    <row r="1318" spans="1:9" x14ac:dyDescent="0.3">
      <c r="A1318" s="81"/>
      <c r="B1318" s="82"/>
      <c r="C1318" s="84"/>
      <c r="D1318" s="82"/>
      <c r="E1318" s="82"/>
      <c r="F1318" s="82"/>
      <c r="G1318" s="82"/>
      <c r="H1318" s="82"/>
      <c r="I1318" s="83"/>
    </row>
    <row r="1319" spans="1:9" x14ac:dyDescent="0.3">
      <c r="A1319" s="81"/>
      <c r="B1319" s="82"/>
      <c r="C1319" s="84"/>
      <c r="D1319" s="82"/>
      <c r="E1319" s="82"/>
      <c r="F1319" s="82"/>
      <c r="G1319" s="82"/>
      <c r="H1319" s="82"/>
      <c r="I1319" s="83"/>
    </row>
    <row r="1320" spans="1:9" x14ac:dyDescent="0.3">
      <c r="A1320" s="81"/>
      <c r="B1320" s="82"/>
      <c r="C1320" s="84"/>
      <c r="D1320" s="82"/>
      <c r="E1320" s="82"/>
      <c r="F1320" s="82"/>
      <c r="G1320" s="82"/>
      <c r="H1320" s="82"/>
      <c r="I1320" s="83"/>
    </row>
    <row r="1321" spans="1:9" x14ac:dyDescent="0.3">
      <c r="A1321" s="81"/>
      <c r="B1321" s="82"/>
      <c r="C1321" s="84"/>
      <c r="D1321" s="82"/>
      <c r="E1321" s="82"/>
      <c r="F1321" s="82"/>
      <c r="G1321" s="82"/>
      <c r="H1321" s="82"/>
      <c r="I1321" s="83"/>
    </row>
    <row r="1322" spans="1:9" x14ac:dyDescent="0.3">
      <c r="A1322" s="81"/>
      <c r="B1322" s="82"/>
      <c r="C1322" s="84"/>
      <c r="D1322" s="82"/>
      <c r="E1322" s="82"/>
      <c r="F1322" s="82"/>
      <c r="G1322" s="82"/>
      <c r="H1322" s="82"/>
      <c r="I1322" s="83"/>
    </row>
    <row r="1323" spans="1:9" x14ac:dyDescent="0.3">
      <c r="A1323" s="81"/>
      <c r="B1323" s="82"/>
      <c r="C1323" s="84"/>
      <c r="D1323" s="82"/>
      <c r="E1323" s="82"/>
      <c r="F1323" s="82"/>
      <c r="G1323" s="82"/>
      <c r="H1323" s="82"/>
      <c r="I1323" s="83"/>
    </row>
    <row r="1324" spans="1:9" x14ac:dyDescent="0.3">
      <c r="A1324" s="81"/>
      <c r="B1324" s="82"/>
      <c r="C1324" s="84"/>
      <c r="D1324" s="82"/>
      <c r="E1324" s="82"/>
      <c r="F1324" s="82"/>
      <c r="G1324" s="82"/>
      <c r="H1324" s="82"/>
      <c r="I1324" s="83"/>
    </row>
    <row r="1325" spans="1:9" x14ac:dyDescent="0.3">
      <c r="A1325" s="81"/>
      <c r="B1325" s="82"/>
      <c r="C1325" s="84"/>
      <c r="D1325" s="82"/>
      <c r="E1325" s="82"/>
      <c r="F1325" s="82"/>
      <c r="G1325" s="82"/>
      <c r="H1325" s="82"/>
      <c r="I1325" s="83"/>
    </row>
    <row r="1326" spans="1:9" x14ac:dyDescent="0.3">
      <c r="A1326" s="81"/>
      <c r="B1326" s="82"/>
      <c r="C1326" s="84"/>
      <c r="D1326" s="82"/>
      <c r="E1326" s="82"/>
      <c r="F1326" s="82"/>
      <c r="G1326" s="82"/>
      <c r="H1326" s="82"/>
      <c r="I1326" s="83"/>
    </row>
    <row r="1327" spans="1:9" x14ac:dyDescent="0.3">
      <c r="A1327" s="81"/>
      <c r="B1327" s="82"/>
      <c r="C1327" s="84"/>
      <c r="D1327" s="82"/>
      <c r="E1327" s="82"/>
      <c r="F1327" s="82"/>
      <c r="G1327" s="82"/>
      <c r="H1327" s="82"/>
      <c r="I1327" s="83"/>
    </row>
    <row r="1328" spans="1:9" x14ac:dyDescent="0.3">
      <c r="A1328" s="81"/>
      <c r="B1328" s="82"/>
      <c r="C1328" s="84"/>
      <c r="D1328" s="82"/>
      <c r="E1328" s="82"/>
      <c r="F1328" s="82"/>
      <c r="G1328" s="82"/>
      <c r="H1328" s="82"/>
      <c r="I1328" s="83"/>
    </row>
    <row r="1329" spans="1:9" x14ac:dyDescent="0.3">
      <c r="A1329" s="81"/>
      <c r="B1329" s="82"/>
      <c r="C1329" s="84"/>
      <c r="D1329" s="82"/>
      <c r="E1329" s="82"/>
      <c r="F1329" s="82"/>
      <c r="G1329" s="82"/>
      <c r="H1329" s="82"/>
      <c r="I1329" s="83"/>
    </row>
    <row r="1330" spans="1:9" x14ac:dyDescent="0.3">
      <c r="A1330" s="81"/>
      <c r="B1330" s="82"/>
      <c r="C1330" s="84"/>
      <c r="D1330" s="82"/>
      <c r="E1330" s="82"/>
      <c r="F1330" s="82"/>
      <c r="G1330" s="82"/>
      <c r="H1330" s="82"/>
      <c r="I1330" s="83"/>
    </row>
    <row r="1331" spans="1:9" x14ac:dyDescent="0.3">
      <c r="A1331" s="81"/>
      <c r="B1331" s="82"/>
      <c r="C1331" s="84"/>
      <c r="D1331" s="82"/>
      <c r="E1331" s="82"/>
      <c r="F1331" s="82"/>
      <c r="G1331" s="82"/>
      <c r="H1331" s="82"/>
      <c r="I1331" s="83"/>
    </row>
    <row r="1332" spans="1:9" x14ac:dyDescent="0.3">
      <c r="A1332" s="81"/>
      <c r="B1332" s="82"/>
      <c r="C1332" s="84"/>
      <c r="D1332" s="82"/>
      <c r="E1332" s="82"/>
      <c r="F1332" s="82"/>
      <c r="G1332" s="82"/>
      <c r="H1332" s="82"/>
      <c r="I1332" s="83"/>
    </row>
    <row r="1333" spans="1:9" x14ac:dyDescent="0.3">
      <c r="A1333" s="81"/>
      <c r="B1333" s="82"/>
      <c r="C1333" s="84"/>
      <c r="D1333" s="82"/>
      <c r="E1333" s="82"/>
      <c r="F1333" s="82"/>
      <c r="G1333" s="82"/>
      <c r="H1333" s="82"/>
      <c r="I1333" s="83"/>
    </row>
    <row r="1334" spans="1:9" x14ac:dyDescent="0.3">
      <c r="A1334" s="81"/>
      <c r="B1334" s="82"/>
      <c r="C1334" s="84"/>
      <c r="D1334" s="82"/>
      <c r="E1334" s="82"/>
      <c r="F1334" s="82"/>
      <c r="G1334" s="82"/>
      <c r="H1334" s="82"/>
      <c r="I1334" s="83"/>
    </row>
    <row r="1335" spans="1:9" x14ac:dyDescent="0.3">
      <c r="A1335" s="81"/>
      <c r="B1335" s="82"/>
      <c r="C1335" s="84"/>
      <c r="D1335" s="82"/>
      <c r="E1335" s="82"/>
      <c r="F1335" s="82"/>
      <c r="G1335" s="82"/>
      <c r="H1335" s="82"/>
      <c r="I1335" s="83"/>
    </row>
    <row r="1336" spans="1:9" x14ac:dyDescent="0.3">
      <c r="A1336" s="81"/>
      <c r="B1336" s="82"/>
      <c r="C1336" s="84"/>
      <c r="D1336" s="82"/>
      <c r="E1336" s="82"/>
      <c r="F1336" s="82"/>
      <c r="G1336" s="82"/>
      <c r="H1336" s="82"/>
      <c r="I1336" s="83"/>
    </row>
    <row r="1337" spans="1:9" x14ac:dyDescent="0.3">
      <c r="A1337" s="81"/>
      <c r="B1337" s="82"/>
      <c r="C1337" s="84"/>
      <c r="D1337" s="82"/>
      <c r="E1337" s="82"/>
      <c r="F1337" s="82"/>
      <c r="G1337" s="82"/>
      <c r="H1337" s="82"/>
      <c r="I1337" s="83"/>
    </row>
    <row r="1338" spans="1:9" x14ac:dyDescent="0.3">
      <c r="A1338" s="81"/>
      <c r="B1338" s="82"/>
      <c r="C1338" s="84"/>
      <c r="D1338" s="82"/>
      <c r="E1338" s="82"/>
      <c r="F1338" s="82"/>
      <c r="G1338" s="82"/>
      <c r="H1338" s="82"/>
      <c r="I1338" s="83"/>
    </row>
    <row r="1339" spans="1:9" x14ac:dyDescent="0.3">
      <c r="A1339" s="81"/>
      <c r="B1339" s="82"/>
      <c r="C1339" s="84"/>
      <c r="D1339" s="82"/>
      <c r="E1339" s="82"/>
      <c r="F1339" s="82"/>
      <c r="G1339" s="82"/>
      <c r="H1339" s="82"/>
      <c r="I1339" s="83"/>
    </row>
    <row r="1340" spans="1:9" x14ac:dyDescent="0.3">
      <c r="A1340" s="81"/>
      <c r="B1340" s="82"/>
      <c r="C1340" s="84"/>
      <c r="D1340" s="82"/>
      <c r="E1340" s="82"/>
      <c r="F1340" s="82"/>
      <c r="G1340" s="82"/>
      <c r="H1340" s="82"/>
      <c r="I1340" s="83"/>
    </row>
    <row r="1341" spans="1:9" x14ac:dyDescent="0.3">
      <c r="A1341" s="81"/>
      <c r="B1341" s="82"/>
      <c r="C1341" s="84"/>
      <c r="D1341" s="82"/>
      <c r="E1341" s="82"/>
      <c r="F1341" s="82"/>
      <c r="G1341" s="82"/>
      <c r="H1341" s="82"/>
      <c r="I1341" s="83"/>
    </row>
    <row r="1342" spans="1:9" x14ac:dyDescent="0.3">
      <c r="A1342" s="81"/>
      <c r="B1342" s="82"/>
      <c r="C1342" s="84"/>
      <c r="D1342" s="82"/>
      <c r="E1342" s="82"/>
      <c r="F1342" s="82"/>
      <c r="G1342" s="82"/>
      <c r="H1342" s="82"/>
      <c r="I1342" s="83"/>
    </row>
    <row r="1343" spans="1:9" x14ac:dyDescent="0.3">
      <c r="A1343" s="81"/>
      <c r="B1343" s="82"/>
      <c r="C1343" s="84"/>
      <c r="D1343" s="82"/>
      <c r="E1343" s="82"/>
      <c r="F1343" s="82"/>
      <c r="G1343" s="82"/>
      <c r="H1343" s="82"/>
      <c r="I1343" s="83"/>
    </row>
    <row r="1344" spans="1:9" x14ac:dyDescent="0.3">
      <c r="A1344" s="81"/>
      <c r="B1344" s="82"/>
      <c r="C1344" s="84"/>
      <c r="D1344" s="82"/>
      <c r="E1344" s="82"/>
      <c r="F1344" s="82"/>
      <c r="G1344" s="82"/>
      <c r="H1344" s="82"/>
      <c r="I1344" s="83"/>
    </row>
    <row r="1345" spans="1:9" x14ac:dyDescent="0.3">
      <c r="A1345" s="81"/>
      <c r="B1345" s="82"/>
      <c r="C1345" s="84"/>
      <c r="D1345" s="82"/>
      <c r="E1345" s="82"/>
      <c r="F1345" s="82"/>
      <c r="G1345" s="82"/>
      <c r="H1345" s="82"/>
      <c r="I1345" s="83"/>
    </row>
    <row r="1346" spans="1:9" x14ac:dyDescent="0.3">
      <c r="A1346" s="81"/>
      <c r="B1346" s="82"/>
      <c r="C1346" s="84"/>
      <c r="D1346" s="82"/>
      <c r="E1346" s="82"/>
      <c r="F1346" s="82"/>
      <c r="G1346" s="82"/>
      <c r="H1346" s="82"/>
      <c r="I1346" s="83"/>
    </row>
    <row r="1347" spans="1:9" x14ac:dyDescent="0.3">
      <c r="A1347" s="81"/>
      <c r="B1347" s="82"/>
      <c r="C1347" s="84"/>
      <c r="D1347" s="82"/>
      <c r="E1347" s="82"/>
      <c r="F1347" s="82"/>
      <c r="G1347" s="82"/>
      <c r="H1347" s="82"/>
      <c r="I1347" s="83"/>
    </row>
    <row r="1348" spans="1:9" x14ac:dyDescent="0.3">
      <c r="A1348" s="81"/>
      <c r="B1348" s="82"/>
      <c r="C1348" s="84"/>
      <c r="D1348" s="82"/>
      <c r="E1348" s="82"/>
      <c r="F1348" s="82"/>
      <c r="G1348" s="82"/>
      <c r="H1348" s="82"/>
      <c r="I1348" s="83"/>
    </row>
    <row r="1349" spans="1:9" x14ac:dyDescent="0.3">
      <c r="A1349" s="81"/>
      <c r="B1349" s="82"/>
      <c r="C1349" s="84"/>
      <c r="D1349" s="82"/>
      <c r="E1349" s="82"/>
      <c r="F1349" s="82"/>
      <c r="G1349" s="82"/>
      <c r="H1349" s="82"/>
      <c r="I1349" s="83"/>
    </row>
    <row r="1350" spans="1:9" x14ac:dyDescent="0.3">
      <c r="A1350" s="81"/>
      <c r="B1350" s="82"/>
      <c r="C1350" s="84"/>
      <c r="D1350" s="82"/>
      <c r="E1350" s="82"/>
      <c r="F1350" s="82"/>
      <c r="G1350" s="82"/>
      <c r="H1350" s="82"/>
      <c r="I1350" s="83"/>
    </row>
    <row r="1351" spans="1:9" x14ac:dyDescent="0.3">
      <c r="A1351" s="81"/>
      <c r="B1351" s="82"/>
      <c r="C1351" s="84"/>
      <c r="D1351" s="82"/>
      <c r="E1351" s="82"/>
      <c r="F1351" s="82"/>
      <c r="G1351" s="82"/>
      <c r="H1351" s="82"/>
      <c r="I1351" s="83"/>
    </row>
    <row r="1352" spans="1:9" x14ac:dyDescent="0.3">
      <c r="A1352" s="81"/>
      <c r="B1352" s="82"/>
      <c r="C1352" s="84"/>
      <c r="D1352" s="82"/>
      <c r="E1352" s="82"/>
      <c r="F1352" s="82"/>
      <c r="G1352" s="82"/>
      <c r="H1352" s="82"/>
      <c r="I1352" s="83"/>
    </row>
    <row r="1353" spans="1:9" x14ac:dyDescent="0.3">
      <c r="A1353" s="81"/>
      <c r="B1353" s="82"/>
      <c r="C1353" s="84"/>
      <c r="D1353" s="82"/>
      <c r="E1353" s="82"/>
      <c r="F1353" s="82"/>
      <c r="G1353" s="82"/>
      <c r="H1353" s="82"/>
      <c r="I1353" s="83"/>
    </row>
    <row r="1354" spans="1:9" x14ac:dyDescent="0.3">
      <c r="A1354" s="81"/>
      <c r="B1354" s="82"/>
      <c r="C1354" s="84"/>
      <c r="D1354" s="82"/>
      <c r="E1354" s="82"/>
      <c r="F1354" s="82"/>
      <c r="G1354" s="82"/>
      <c r="H1354" s="82"/>
      <c r="I1354" s="83"/>
    </row>
    <row r="1355" spans="1:9" x14ac:dyDescent="0.3">
      <c r="A1355" s="81"/>
      <c r="B1355" s="82"/>
      <c r="C1355" s="84"/>
      <c r="D1355" s="82"/>
      <c r="E1355" s="82"/>
      <c r="F1355" s="82"/>
      <c r="G1355" s="82"/>
      <c r="H1355" s="82"/>
      <c r="I1355" s="83"/>
    </row>
    <row r="1356" spans="1:9" x14ac:dyDescent="0.3">
      <c r="A1356" s="81"/>
      <c r="B1356" s="82"/>
      <c r="C1356" s="84"/>
      <c r="D1356" s="82"/>
      <c r="E1356" s="82"/>
      <c r="F1356" s="82"/>
      <c r="G1356" s="82"/>
      <c r="H1356" s="82"/>
      <c r="I1356" s="83"/>
    </row>
    <row r="1357" spans="1:9" x14ac:dyDescent="0.3">
      <c r="A1357" s="81"/>
      <c r="B1357" s="82"/>
      <c r="C1357" s="84"/>
      <c r="D1357" s="82"/>
      <c r="E1357" s="82"/>
      <c r="F1357" s="82"/>
      <c r="G1357" s="82"/>
      <c r="H1357" s="82"/>
      <c r="I1357" s="83"/>
    </row>
    <row r="1358" spans="1:9" x14ac:dyDescent="0.3">
      <c r="A1358" s="81"/>
      <c r="B1358" s="82"/>
      <c r="C1358" s="84"/>
      <c r="D1358" s="82"/>
      <c r="E1358" s="82"/>
      <c r="F1358" s="82"/>
      <c r="G1358" s="82"/>
      <c r="H1358" s="82"/>
      <c r="I1358" s="83"/>
    </row>
    <row r="1359" spans="1:9" x14ac:dyDescent="0.3">
      <c r="A1359" s="81"/>
      <c r="B1359" s="82"/>
      <c r="C1359" s="84"/>
      <c r="D1359" s="82"/>
      <c r="E1359" s="82"/>
      <c r="F1359" s="82"/>
      <c r="G1359" s="82"/>
      <c r="H1359" s="82"/>
      <c r="I1359" s="83"/>
    </row>
    <row r="1360" spans="1:9" x14ac:dyDescent="0.3">
      <c r="A1360" s="81"/>
      <c r="B1360" s="82"/>
      <c r="C1360" s="84"/>
      <c r="D1360" s="82"/>
      <c r="E1360" s="82"/>
      <c r="F1360" s="82"/>
      <c r="G1360" s="82"/>
      <c r="H1360" s="82"/>
      <c r="I1360" s="83"/>
    </row>
    <row r="1361" spans="1:9" x14ac:dyDescent="0.3">
      <c r="A1361" s="81"/>
      <c r="B1361" s="82"/>
      <c r="C1361" s="84"/>
      <c r="D1361" s="82"/>
      <c r="E1361" s="82"/>
      <c r="F1361" s="82"/>
      <c r="G1361" s="82"/>
      <c r="H1361" s="82"/>
      <c r="I1361" s="83"/>
    </row>
    <row r="1362" spans="1:9" x14ac:dyDescent="0.3">
      <c r="A1362" s="81"/>
      <c r="B1362" s="82"/>
      <c r="C1362" s="84"/>
      <c r="D1362" s="82"/>
      <c r="E1362" s="82"/>
      <c r="F1362" s="82"/>
      <c r="G1362" s="82"/>
      <c r="H1362" s="82"/>
      <c r="I1362" s="83"/>
    </row>
    <row r="1363" spans="1:9" x14ac:dyDescent="0.3">
      <c r="A1363" s="81"/>
      <c r="B1363" s="82"/>
      <c r="C1363" s="84"/>
      <c r="D1363" s="82"/>
      <c r="E1363" s="82"/>
      <c r="F1363" s="82"/>
      <c r="G1363" s="82"/>
      <c r="H1363" s="82"/>
      <c r="I1363" s="83"/>
    </row>
    <row r="1364" spans="1:9" x14ac:dyDescent="0.3">
      <c r="A1364" s="81"/>
      <c r="B1364" s="82"/>
      <c r="C1364" s="84"/>
      <c r="D1364" s="82"/>
      <c r="E1364" s="82"/>
      <c r="F1364" s="82"/>
      <c r="G1364" s="82"/>
      <c r="H1364" s="82"/>
      <c r="I1364" s="83"/>
    </row>
    <row r="1365" spans="1:9" x14ac:dyDescent="0.3">
      <c r="A1365" s="81"/>
      <c r="B1365" s="82"/>
      <c r="C1365" s="84"/>
      <c r="D1365" s="82"/>
      <c r="E1365" s="82"/>
      <c r="F1365" s="82"/>
      <c r="G1365" s="82"/>
      <c r="H1365" s="82"/>
      <c r="I1365" s="83"/>
    </row>
    <row r="1366" spans="1:9" x14ac:dyDescent="0.3">
      <c r="A1366" s="81"/>
      <c r="B1366" s="82"/>
      <c r="C1366" s="84"/>
      <c r="D1366" s="82"/>
      <c r="E1366" s="82"/>
      <c r="F1366" s="82"/>
      <c r="G1366" s="82"/>
      <c r="H1366" s="82"/>
      <c r="I1366" s="83"/>
    </row>
    <row r="1367" spans="1:9" x14ac:dyDescent="0.3">
      <c r="A1367" s="81"/>
      <c r="B1367" s="82"/>
      <c r="C1367" s="84"/>
      <c r="D1367" s="82"/>
      <c r="E1367" s="82"/>
      <c r="F1367" s="82"/>
      <c r="G1367" s="82"/>
      <c r="H1367" s="82"/>
      <c r="I1367" s="83"/>
    </row>
    <row r="1368" spans="1:9" x14ac:dyDescent="0.3">
      <c r="A1368" s="81"/>
      <c r="B1368" s="82"/>
      <c r="C1368" s="84"/>
      <c r="D1368" s="82"/>
      <c r="E1368" s="82"/>
      <c r="F1368" s="82"/>
      <c r="G1368" s="82"/>
      <c r="H1368" s="82"/>
      <c r="I1368" s="83"/>
    </row>
    <row r="1369" spans="1:9" x14ac:dyDescent="0.3">
      <c r="A1369" s="81"/>
      <c r="B1369" s="82"/>
      <c r="C1369" s="84"/>
      <c r="D1369" s="82"/>
      <c r="E1369" s="82"/>
      <c r="F1369" s="82"/>
      <c r="G1369" s="82"/>
      <c r="H1369" s="82"/>
      <c r="I1369" s="83"/>
    </row>
    <row r="1370" spans="1:9" x14ac:dyDescent="0.3">
      <c r="A1370" s="81"/>
      <c r="B1370" s="82"/>
      <c r="C1370" s="84"/>
      <c r="D1370" s="82"/>
      <c r="E1370" s="82"/>
      <c r="F1370" s="82"/>
      <c r="G1370" s="82"/>
      <c r="H1370" s="82"/>
      <c r="I1370" s="83"/>
    </row>
    <row r="1371" spans="1:9" x14ac:dyDescent="0.3">
      <c r="A1371" s="81"/>
      <c r="B1371" s="82"/>
      <c r="C1371" s="84"/>
      <c r="D1371" s="82"/>
      <c r="E1371" s="82"/>
      <c r="F1371" s="82"/>
      <c r="G1371" s="82"/>
      <c r="H1371" s="82"/>
      <c r="I1371" s="83"/>
    </row>
    <row r="1372" spans="1:9" x14ac:dyDescent="0.3">
      <c r="A1372" s="81"/>
      <c r="B1372" s="82"/>
      <c r="C1372" s="84"/>
      <c r="D1372" s="82"/>
      <c r="E1372" s="82"/>
      <c r="F1372" s="82"/>
      <c r="G1372" s="82"/>
      <c r="H1372" s="82"/>
      <c r="I1372" s="83"/>
    </row>
    <row r="1373" spans="1:9" x14ac:dyDescent="0.3">
      <c r="A1373" s="81"/>
      <c r="B1373" s="82"/>
      <c r="C1373" s="84"/>
      <c r="D1373" s="82"/>
      <c r="E1373" s="82"/>
      <c r="F1373" s="82"/>
      <c r="G1373" s="82"/>
      <c r="H1373" s="82"/>
      <c r="I1373" s="83"/>
    </row>
    <row r="1374" spans="1:9" x14ac:dyDescent="0.3">
      <c r="A1374" s="81"/>
      <c r="B1374" s="82"/>
      <c r="C1374" s="84"/>
      <c r="D1374" s="82"/>
      <c r="E1374" s="82"/>
      <c r="F1374" s="82"/>
      <c r="G1374" s="82"/>
      <c r="H1374" s="82"/>
      <c r="I1374" s="83"/>
    </row>
    <row r="1375" spans="1:9" x14ac:dyDescent="0.3">
      <c r="A1375" s="81"/>
      <c r="B1375" s="82"/>
      <c r="C1375" s="84"/>
      <c r="D1375" s="82"/>
      <c r="E1375" s="82"/>
      <c r="F1375" s="82"/>
      <c r="G1375" s="82"/>
      <c r="H1375" s="82"/>
      <c r="I1375" s="83"/>
    </row>
    <row r="1376" spans="1:9" x14ac:dyDescent="0.3">
      <c r="A1376" s="81"/>
      <c r="B1376" s="82"/>
      <c r="C1376" s="84"/>
      <c r="D1376" s="82"/>
      <c r="E1376" s="82"/>
      <c r="F1376" s="82"/>
      <c r="G1376" s="82"/>
      <c r="H1376" s="82"/>
      <c r="I1376" s="83"/>
    </row>
    <row r="1377" spans="1:9" x14ac:dyDescent="0.3">
      <c r="A1377" s="81"/>
      <c r="B1377" s="82"/>
      <c r="C1377" s="84"/>
      <c r="D1377" s="82"/>
      <c r="E1377" s="82"/>
      <c r="F1377" s="82"/>
      <c r="G1377" s="82"/>
      <c r="H1377" s="82"/>
      <c r="I1377" s="83"/>
    </row>
    <row r="1378" spans="1:9" x14ac:dyDescent="0.3">
      <c r="A1378" s="81"/>
      <c r="B1378" s="82"/>
      <c r="C1378" s="84"/>
      <c r="D1378" s="82"/>
      <c r="E1378" s="82"/>
      <c r="F1378" s="82"/>
      <c r="G1378" s="82"/>
      <c r="H1378" s="82"/>
      <c r="I1378" s="83"/>
    </row>
    <row r="1379" spans="1:9" x14ac:dyDescent="0.3">
      <c r="A1379" s="81"/>
      <c r="B1379" s="82"/>
      <c r="C1379" s="84"/>
      <c r="D1379" s="82"/>
      <c r="E1379" s="82"/>
      <c r="F1379" s="82"/>
      <c r="G1379" s="82"/>
      <c r="H1379" s="82"/>
      <c r="I1379" s="83"/>
    </row>
    <row r="1380" spans="1:9" x14ac:dyDescent="0.3">
      <c r="A1380" s="81"/>
      <c r="B1380" s="82"/>
      <c r="C1380" s="84"/>
      <c r="D1380" s="82"/>
      <c r="E1380" s="82"/>
      <c r="F1380" s="82"/>
      <c r="G1380" s="82"/>
      <c r="H1380" s="82"/>
      <c r="I1380" s="83"/>
    </row>
    <row r="1381" spans="1:9" x14ac:dyDescent="0.3">
      <c r="A1381" s="81"/>
      <c r="B1381" s="82"/>
      <c r="C1381" s="84"/>
      <c r="D1381" s="82"/>
      <c r="E1381" s="82"/>
      <c r="F1381" s="82"/>
      <c r="G1381" s="82"/>
      <c r="H1381" s="82"/>
      <c r="I1381" s="83"/>
    </row>
    <row r="1382" spans="1:9" x14ac:dyDescent="0.3">
      <c r="A1382" s="81"/>
      <c r="B1382" s="82"/>
      <c r="C1382" s="84"/>
      <c r="D1382" s="82"/>
      <c r="E1382" s="82"/>
      <c r="F1382" s="82"/>
      <c r="G1382" s="82"/>
      <c r="H1382" s="82"/>
      <c r="I1382" s="83"/>
    </row>
    <row r="1383" spans="1:9" x14ac:dyDescent="0.3">
      <c r="A1383" s="81"/>
      <c r="B1383" s="82"/>
      <c r="C1383" s="84"/>
      <c r="D1383" s="82"/>
      <c r="E1383" s="82"/>
      <c r="F1383" s="82"/>
      <c r="G1383" s="82"/>
      <c r="H1383" s="82"/>
      <c r="I1383" s="83"/>
    </row>
    <row r="1384" spans="1:9" x14ac:dyDescent="0.3">
      <c r="A1384" s="81"/>
      <c r="B1384" s="82"/>
      <c r="C1384" s="84"/>
      <c r="D1384" s="82"/>
      <c r="E1384" s="82"/>
      <c r="F1384" s="82"/>
      <c r="G1384" s="82"/>
      <c r="H1384" s="82"/>
      <c r="I1384" s="83"/>
    </row>
    <row r="1385" spans="1:9" x14ac:dyDescent="0.3">
      <c r="A1385" s="81"/>
      <c r="B1385" s="82"/>
      <c r="C1385" s="84"/>
      <c r="D1385" s="82"/>
      <c r="E1385" s="82"/>
      <c r="F1385" s="82"/>
      <c r="G1385" s="82"/>
      <c r="H1385" s="82"/>
      <c r="I1385" s="83"/>
    </row>
    <row r="1386" spans="1:9" x14ac:dyDescent="0.3">
      <c r="A1386" s="81"/>
      <c r="B1386" s="82"/>
      <c r="C1386" s="84"/>
      <c r="D1386" s="82"/>
      <c r="E1386" s="82"/>
      <c r="F1386" s="82"/>
      <c r="G1386" s="82"/>
      <c r="H1386" s="82"/>
      <c r="I1386" s="83"/>
    </row>
    <row r="1387" spans="1:9" x14ac:dyDescent="0.3">
      <c r="A1387" s="81"/>
      <c r="B1387" s="82"/>
      <c r="C1387" s="84"/>
      <c r="D1387" s="82"/>
      <c r="E1387" s="82"/>
      <c r="F1387" s="82"/>
      <c r="G1387" s="82"/>
      <c r="H1387" s="82"/>
      <c r="I1387" s="83"/>
    </row>
    <row r="1388" spans="1:9" x14ac:dyDescent="0.3">
      <c r="A1388" s="81"/>
      <c r="B1388" s="82"/>
      <c r="C1388" s="84"/>
      <c r="D1388" s="82"/>
      <c r="E1388" s="82"/>
      <c r="F1388" s="82"/>
      <c r="G1388" s="82"/>
      <c r="H1388" s="82"/>
      <c r="I1388" s="83"/>
    </row>
    <row r="1389" spans="1:9" x14ac:dyDescent="0.3">
      <c r="A1389" s="81"/>
      <c r="B1389" s="82"/>
      <c r="C1389" s="84"/>
      <c r="D1389" s="82"/>
      <c r="E1389" s="82"/>
      <c r="F1389" s="82"/>
      <c r="G1389" s="82"/>
      <c r="H1389" s="82"/>
      <c r="I1389" s="83"/>
    </row>
    <row r="1390" spans="1:9" x14ac:dyDescent="0.3">
      <c r="A1390" s="81"/>
      <c r="B1390" s="82"/>
      <c r="C1390" s="84"/>
      <c r="D1390" s="82"/>
      <c r="E1390" s="82"/>
      <c r="F1390" s="82"/>
      <c r="G1390" s="82"/>
      <c r="H1390" s="82"/>
      <c r="I1390" s="83"/>
    </row>
    <row r="1391" spans="1:9" x14ac:dyDescent="0.3">
      <c r="A1391" s="81"/>
      <c r="B1391" s="82"/>
      <c r="C1391" s="84"/>
      <c r="D1391" s="82"/>
      <c r="E1391" s="82"/>
      <c r="F1391" s="82"/>
      <c r="G1391" s="82"/>
      <c r="H1391" s="82"/>
      <c r="I1391" s="83"/>
    </row>
    <row r="1392" spans="1:9" x14ac:dyDescent="0.3">
      <c r="A1392" s="81"/>
      <c r="B1392" s="82"/>
      <c r="C1392" s="84"/>
      <c r="D1392" s="82"/>
      <c r="E1392" s="82"/>
      <c r="F1392" s="82"/>
      <c r="G1392" s="82"/>
      <c r="H1392" s="82"/>
      <c r="I1392" s="83"/>
    </row>
    <row r="1393" spans="1:9" x14ac:dyDescent="0.3">
      <c r="A1393" s="81"/>
      <c r="B1393" s="82"/>
      <c r="C1393" s="84"/>
      <c r="D1393" s="82"/>
      <c r="E1393" s="82"/>
      <c r="F1393" s="82"/>
      <c r="G1393" s="82"/>
      <c r="H1393" s="82"/>
      <c r="I1393" s="83"/>
    </row>
    <row r="1394" spans="1:9" x14ac:dyDescent="0.3">
      <c r="A1394" s="81"/>
      <c r="B1394" s="82"/>
      <c r="C1394" s="84"/>
      <c r="D1394" s="82"/>
      <c r="E1394" s="82"/>
      <c r="F1394" s="82"/>
      <c r="G1394" s="82"/>
      <c r="H1394" s="82"/>
      <c r="I1394" s="83"/>
    </row>
    <row r="1395" spans="1:9" x14ac:dyDescent="0.3">
      <c r="A1395" s="81"/>
      <c r="B1395" s="82"/>
      <c r="C1395" s="84"/>
      <c r="D1395" s="82"/>
      <c r="E1395" s="82"/>
      <c r="F1395" s="82"/>
      <c r="G1395" s="82"/>
      <c r="H1395" s="82"/>
      <c r="I1395" s="83"/>
    </row>
    <row r="1396" spans="1:9" x14ac:dyDescent="0.3">
      <c r="A1396" s="81"/>
      <c r="B1396" s="82"/>
      <c r="C1396" s="84"/>
      <c r="D1396" s="82"/>
      <c r="E1396" s="82"/>
      <c r="F1396" s="82"/>
      <c r="G1396" s="82"/>
      <c r="H1396" s="82"/>
      <c r="I1396" s="83"/>
    </row>
    <row r="1397" spans="1:9" x14ac:dyDescent="0.3">
      <c r="A1397" s="81"/>
      <c r="B1397" s="82"/>
      <c r="C1397" s="84"/>
      <c r="D1397" s="82"/>
      <c r="E1397" s="82"/>
      <c r="F1397" s="82"/>
      <c r="G1397" s="82"/>
      <c r="H1397" s="82"/>
      <c r="I1397" s="83"/>
    </row>
    <row r="1398" spans="1:9" x14ac:dyDescent="0.3">
      <c r="A1398" s="81"/>
      <c r="B1398" s="82"/>
      <c r="C1398" s="84"/>
      <c r="D1398" s="82"/>
      <c r="E1398" s="82"/>
      <c r="F1398" s="82"/>
      <c r="G1398" s="82"/>
      <c r="H1398" s="82"/>
      <c r="I1398" s="83"/>
    </row>
    <row r="1399" spans="1:9" x14ac:dyDescent="0.3">
      <c r="A1399" s="81"/>
      <c r="B1399" s="82"/>
      <c r="C1399" s="84"/>
      <c r="D1399" s="82"/>
      <c r="E1399" s="82"/>
      <c r="F1399" s="82"/>
      <c r="G1399" s="82"/>
      <c r="H1399" s="82"/>
      <c r="I1399" s="83"/>
    </row>
    <row r="1400" spans="1:9" x14ac:dyDescent="0.3">
      <c r="A1400" s="81"/>
      <c r="B1400" s="82"/>
      <c r="C1400" s="84"/>
      <c r="D1400" s="82"/>
      <c r="E1400" s="82"/>
      <c r="F1400" s="82"/>
      <c r="G1400" s="82"/>
      <c r="H1400" s="82"/>
      <c r="I1400" s="83"/>
    </row>
    <row r="1401" spans="1:9" x14ac:dyDescent="0.3">
      <c r="A1401" s="81"/>
      <c r="B1401" s="82"/>
      <c r="C1401" s="84"/>
      <c r="D1401" s="82"/>
      <c r="E1401" s="82"/>
      <c r="F1401" s="82"/>
      <c r="G1401" s="82"/>
      <c r="H1401" s="82"/>
      <c r="I1401" s="83"/>
    </row>
    <row r="1402" spans="1:9" x14ac:dyDescent="0.3">
      <c r="A1402" s="81"/>
      <c r="B1402" s="82"/>
      <c r="C1402" s="84"/>
      <c r="D1402" s="82"/>
      <c r="E1402" s="82"/>
      <c r="F1402" s="82"/>
      <c r="G1402" s="82"/>
      <c r="H1402" s="82"/>
      <c r="I1402" s="83"/>
    </row>
    <row r="1403" spans="1:9" x14ac:dyDescent="0.3">
      <c r="A1403" s="81"/>
      <c r="B1403" s="82"/>
      <c r="C1403" s="84"/>
      <c r="D1403" s="82"/>
      <c r="E1403" s="82"/>
      <c r="F1403" s="82"/>
      <c r="G1403" s="82"/>
      <c r="H1403" s="82"/>
      <c r="I1403" s="83"/>
    </row>
    <row r="1404" spans="1:9" x14ac:dyDescent="0.3">
      <c r="A1404" s="81"/>
      <c r="B1404" s="82"/>
      <c r="C1404" s="84"/>
      <c r="D1404" s="82"/>
      <c r="E1404" s="82"/>
      <c r="F1404" s="82"/>
      <c r="G1404" s="82"/>
      <c r="H1404" s="82"/>
      <c r="I1404" s="83"/>
    </row>
    <row r="1405" spans="1:9" x14ac:dyDescent="0.3">
      <c r="A1405" s="81"/>
      <c r="B1405" s="82"/>
      <c r="C1405" s="84"/>
      <c r="D1405" s="82"/>
      <c r="E1405" s="82"/>
      <c r="F1405" s="82"/>
      <c r="G1405" s="82"/>
      <c r="H1405" s="82"/>
      <c r="I1405" s="83"/>
    </row>
    <row r="1406" spans="1:9" x14ac:dyDescent="0.3">
      <c r="A1406" s="81"/>
      <c r="B1406" s="82"/>
      <c r="C1406" s="84"/>
      <c r="D1406" s="82"/>
      <c r="E1406" s="82"/>
      <c r="F1406" s="82"/>
      <c r="G1406" s="82"/>
      <c r="H1406" s="82"/>
      <c r="I1406" s="83"/>
    </row>
    <row r="1407" spans="1:9" x14ac:dyDescent="0.3">
      <c r="A1407" s="81"/>
      <c r="B1407" s="82"/>
      <c r="C1407" s="84"/>
      <c r="D1407" s="82"/>
      <c r="E1407" s="82"/>
      <c r="F1407" s="82"/>
      <c r="G1407" s="82"/>
      <c r="H1407" s="82"/>
      <c r="I1407" s="83"/>
    </row>
    <row r="1408" spans="1:9" x14ac:dyDescent="0.3">
      <c r="A1408" s="81"/>
      <c r="B1408" s="82"/>
      <c r="C1408" s="84"/>
      <c r="D1408" s="82"/>
      <c r="E1408" s="82"/>
      <c r="F1408" s="82"/>
      <c r="G1408" s="82"/>
      <c r="H1408" s="82"/>
      <c r="I1408" s="83"/>
    </row>
    <row r="1409" spans="1:9" x14ac:dyDescent="0.3">
      <c r="A1409" s="81"/>
      <c r="B1409" s="82"/>
      <c r="C1409" s="84"/>
      <c r="D1409" s="82"/>
      <c r="E1409" s="82"/>
      <c r="F1409" s="82"/>
      <c r="G1409" s="82"/>
      <c r="H1409" s="82"/>
      <c r="I1409" s="83"/>
    </row>
    <row r="1410" spans="1:9" x14ac:dyDescent="0.3">
      <c r="A1410" s="81"/>
      <c r="B1410" s="82"/>
      <c r="C1410" s="84"/>
      <c r="D1410" s="82"/>
      <c r="E1410" s="82"/>
      <c r="F1410" s="82"/>
      <c r="G1410" s="82"/>
      <c r="H1410" s="82"/>
      <c r="I1410" s="83"/>
    </row>
    <row r="1411" spans="1:9" x14ac:dyDescent="0.3">
      <c r="A1411" s="81"/>
      <c r="B1411" s="82"/>
      <c r="C1411" s="84"/>
      <c r="D1411" s="82"/>
      <c r="E1411" s="82"/>
      <c r="F1411" s="82"/>
      <c r="G1411" s="82"/>
      <c r="H1411" s="82"/>
      <c r="I1411" s="83"/>
    </row>
    <row r="1412" spans="1:9" x14ac:dyDescent="0.3">
      <c r="A1412" s="81"/>
      <c r="B1412" s="82"/>
      <c r="C1412" s="84"/>
      <c r="D1412" s="82"/>
      <c r="E1412" s="82"/>
      <c r="F1412" s="82"/>
      <c r="G1412" s="82"/>
      <c r="H1412" s="82"/>
      <c r="I1412" s="83"/>
    </row>
    <row r="1413" spans="1:9" x14ac:dyDescent="0.3">
      <c r="A1413" s="81"/>
      <c r="B1413" s="82"/>
      <c r="C1413" s="84"/>
      <c r="D1413" s="82"/>
      <c r="E1413" s="82"/>
      <c r="F1413" s="82"/>
      <c r="G1413" s="82"/>
      <c r="H1413" s="82"/>
      <c r="I1413" s="83"/>
    </row>
    <row r="1414" spans="1:9" x14ac:dyDescent="0.3">
      <c r="A1414" s="81"/>
      <c r="B1414" s="82"/>
      <c r="C1414" s="84"/>
      <c r="D1414" s="82"/>
      <c r="E1414" s="82"/>
      <c r="F1414" s="82"/>
      <c r="G1414" s="82"/>
      <c r="H1414" s="82"/>
      <c r="I1414" s="83"/>
    </row>
    <row r="1415" spans="1:9" x14ac:dyDescent="0.3">
      <c r="A1415" s="81"/>
      <c r="B1415" s="82"/>
      <c r="C1415" s="84"/>
      <c r="D1415" s="82"/>
      <c r="E1415" s="82"/>
      <c r="F1415" s="82"/>
      <c r="G1415" s="82"/>
      <c r="H1415" s="82"/>
      <c r="I1415" s="83"/>
    </row>
    <row r="1416" spans="1:9" x14ac:dyDescent="0.3">
      <c r="A1416" s="81"/>
      <c r="B1416" s="82"/>
      <c r="C1416" s="84"/>
      <c r="D1416" s="82"/>
      <c r="E1416" s="82"/>
      <c r="F1416" s="82"/>
      <c r="G1416" s="82"/>
      <c r="H1416" s="82"/>
      <c r="I1416" s="83"/>
    </row>
    <row r="1417" spans="1:9" x14ac:dyDescent="0.3">
      <c r="A1417" s="81"/>
      <c r="B1417" s="82"/>
      <c r="C1417" s="84"/>
      <c r="D1417" s="82"/>
      <c r="E1417" s="82"/>
      <c r="F1417" s="82"/>
      <c r="G1417" s="82"/>
      <c r="H1417" s="82"/>
      <c r="I1417" s="83"/>
    </row>
    <row r="1418" spans="1:9" x14ac:dyDescent="0.3">
      <c r="A1418" s="81"/>
      <c r="B1418" s="82"/>
      <c r="C1418" s="84"/>
      <c r="D1418" s="82"/>
      <c r="E1418" s="82"/>
      <c r="F1418" s="82"/>
      <c r="G1418" s="82"/>
      <c r="H1418" s="82"/>
      <c r="I1418" s="83"/>
    </row>
    <row r="1419" spans="1:9" x14ac:dyDescent="0.3">
      <c r="A1419" s="81"/>
      <c r="B1419" s="82"/>
      <c r="C1419" s="84"/>
      <c r="D1419" s="82"/>
      <c r="E1419" s="82"/>
      <c r="F1419" s="82"/>
      <c r="G1419" s="82"/>
      <c r="H1419" s="82"/>
      <c r="I1419" s="83"/>
    </row>
    <row r="1420" spans="1:9" x14ac:dyDescent="0.3">
      <c r="A1420" s="81"/>
      <c r="B1420" s="82"/>
      <c r="C1420" s="84"/>
      <c r="D1420" s="82"/>
      <c r="E1420" s="82"/>
      <c r="F1420" s="82"/>
      <c r="G1420" s="82"/>
      <c r="H1420" s="82"/>
      <c r="I1420" s="83"/>
    </row>
    <row r="1421" spans="1:9" x14ac:dyDescent="0.3">
      <c r="A1421" s="81"/>
      <c r="B1421" s="82"/>
      <c r="C1421" s="84"/>
      <c r="D1421" s="82"/>
      <c r="E1421" s="82"/>
      <c r="F1421" s="82"/>
      <c r="G1421" s="82"/>
      <c r="H1421" s="82"/>
      <c r="I1421" s="83"/>
    </row>
    <row r="1422" spans="1:9" x14ac:dyDescent="0.3">
      <c r="A1422" s="81"/>
      <c r="B1422" s="82"/>
      <c r="C1422" s="84"/>
      <c r="D1422" s="82"/>
      <c r="E1422" s="82"/>
      <c r="F1422" s="82"/>
      <c r="G1422" s="82"/>
      <c r="H1422" s="82"/>
      <c r="I1422" s="83"/>
    </row>
    <row r="1423" spans="1:9" x14ac:dyDescent="0.3">
      <c r="A1423" s="81"/>
      <c r="B1423" s="82"/>
      <c r="C1423" s="84"/>
      <c r="D1423" s="82"/>
      <c r="E1423" s="82"/>
      <c r="F1423" s="82"/>
      <c r="G1423" s="82"/>
      <c r="H1423" s="82"/>
      <c r="I1423" s="83"/>
    </row>
    <row r="1424" spans="1:9" x14ac:dyDescent="0.3">
      <c r="A1424" s="81"/>
      <c r="B1424" s="82"/>
      <c r="C1424" s="84"/>
      <c r="D1424" s="82"/>
      <c r="E1424" s="82"/>
      <c r="F1424" s="82"/>
      <c r="G1424" s="82"/>
      <c r="H1424" s="82"/>
      <c r="I1424" s="83"/>
    </row>
    <row r="1425" spans="1:9" x14ac:dyDescent="0.3">
      <c r="A1425" s="81"/>
      <c r="B1425" s="82"/>
      <c r="C1425" s="84"/>
      <c r="D1425" s="82"/>
      <c r="E1425" s="82"/>
      <c r="F1425" s="82"/>
      <c r="G1425" s="82"/>
      <c r="H1425" s="82"/>
      <c r="I1425" s="83"/>
    </row>
    <row r="1426" spans="1:9" x14ac:dyDescent="0.3">
      <c r="A1426" s="81"/>
      <c r="B1426" s="82"/>
      <c r="C1426" s="84"/>
      <c r="D1426" s="82"/>
      <c r="E1426" s="82"/>
      <c r="F1426" s="82"/>
      <c r="G1426" s="82"/>
      <c r="H1426" s="82"/>
      <c r="I1426" s="83"/>
    </row>
  </sheetData>
  <mergeCells count="161">
    <mergeCell ref="L1:L2"/>
    <mergeCell ref="M1:M2"/>
    <mergeCell ref="A3:J3"/>
    <mergeCell ref="A4:A19"/>
    <mergeCell ref="B4:B19"/>
    <mergeCell ref="F4:F19"/>
    <mergeCell ref="G4:G19"/>
    <mergeCell ref="H4:H19"/>
    <mergeCell ref="A1:C1"/>
    <mergeCell ref="D1:D2"/>
    <mergeCell ref="E1:E2"/>
    <mergeCell ref="F1:F2"/>
    <mergeCell ref="G1:G2"/>
    <mergeCell ref="H1:I1"/>
    <mergeCell ref="A20:J20"/>
    <mergeCell ref="A21:J21"/>
    <mergeCell ref="A22:A37"/>
    <mergeCell ref="B22:B37"/>
    <mergeCell ref="F22:F37"/>
    <mergeCell ref="G22:G37"/>
    <mergeCell ref="H22:H37"/>
    <mergeCell ref="J1:J2"/>
    <mergeCell ref="K1:K2"/>
    <mergeCell ref="A56:J56"/>
    <mergeCell ref="A57:J57"/>
    <mergeCell ref="A58:A73"/>
    <mergeCell ref="B58:B73"/>
    <mergeCell ref="F58:F73"/>
    <mergeCell ref="G58:G73"/>
    <mergeCell ref="H58:H73"/>
    <mergeCell ref="A38:J38"/>
    <mergeCell ref="A39:J39"/>
    <mergeCell ref="A40:A55"/>
    <mergeCell ref="B40:B55"/>
    <mergeCell ref="F40:F55"/>
    <mergeCell ref="G40:G55"/>
    <mergeCell ref="H40:H55"/>
    <mergeCell ref="A92:J92"/>
    <mergeCell ref="A93:J93"/>
    <mergeCell ref="A94:A109"/>
    <mergeCell ref="B94:B109"/>
    <mergeCell ref="F94:F109"/>
    <mergeCell ref="G94:G109"/>
    <mergeCell ref="H94:H109"/>
    <mergeCell ref="A74:J74"/>
    <mergeCell ref="A75:J75"/>
    <mergeCell ref="A76:A91"/>
    <mergeCell ref="B76:B91"/>
    <mergeCell ref="F76:F91"/>
    <mergeCell ref="G76:G91"/>
    <mergeCell ref="H76:H91"/>
    <mergeCell ref="A110:J110"/>
    <mergeCell ref="A111:J111"/>
    <mergeCell ref="A112:A117"/>
    <mergeCell ref="B112:B117"/>
    <mergeCell ref="F112:F114"/>
    <mergeCell ref="G112:G117"/>
    <mergeCell ref="H112:H114"/>
    <mergeCell ref="F115:F117"/>
    <mergeCell ref="H115:H117"/>
    <mergeCell ref="A118:J118"/>
    <mergeCell ref="A119:J119"/>
    <mergeCell ref="A120:A125"/>
    <mergeCell ref="B120:B125"/>
    <mergeCell ref="F120:F122"/>
    <mergeCell ref="G120:G125"/>
    <mergeCell ref="H120:H122"/>
    <mergeCell ref="F123:F125"/>
    <mergeCell ref="H123:H125"/>
    <mergeCell ref="A126:J126"/>
    <mergeCell ref="A127:J127"/>
    <mergeCell ref="A128:A133"/>
    <mergeCell ref="B128:B133"/>
    <mergeCell ref="F128:F130"/>
    <mergeCell ref="G128:G133"/>
    <mergeCell ref="H128:H130"/>
    <mergeCell ref="F131:F133"/>
    <mergeCell ref="H131:H133"/>
    <mergeCell ref="A134:J134"/>
    <mergeCell ref="A135:J135"/>
    <mergeCell ref="A136:A141"/>
    <mergeCell ref="B136:B141"/>
    <mergeCell ref="F136:F138"/>
    <mergeCell ref="G136:G141"/>
    <mergeCell ref="H136:H138"/>
    <mergeCell ref="F139:F141"/>
    <mergeCell ref="H139:H141"/>
    <mergeCell ref="A142:J142"/>
    <mergeCell ref="A143:J143"/>
    <mergeCell ref="N143:W143"/>
    <mergeCell ref="A144:A156"/>
    <mergeCell ref="F144:F148"/>
    <mergeCell ref="G144:G156"/>
    <mergeCell ref="H144:H148"/>
    <mergeCell ref="N144:W144"/>
    <mergeCell ref="F149:F156"/>
    <mergeCell ref="H149:H156"/>
    <mergeCell ref="A164:J164"/>
    <mergeCell ref="B165:B166"/>
    <mergeCell ref="G165:G166"/>
    <mergeCell ref="H165:H166"/>
    <mergeCell ref="A167:J167"/>
    <mergeCell ref="A168:J168"/>
    <mergeCell ref="A157:J157"/>
    <mergeCell ref="A158:J158"/>
    <mergeCell ref="B159:B162"/>
    <mergeCell ref="G159:G162"/>
    <mergeCell ref="H159:H162"/>
    <mergeCell ref="A163:J163"/>
    <mergeCell ref="A170:J170"/>
    <mergeCell ref="A171:J171"/>
    <mergeCell ref="A172:J172"/>
    <mergeCell ref="A173:A227"/>
    <mergeCell ref="B173:B227"/>
    <mergeCell ref="F173:F222"/>
    <mergeCell ref="G173:G227"/>
    <mergeCell ref="H173:H222"/>
    <mergeCell ref="F223:F227"/>
    <mergeCell ref="H223:H227"/>
    <mergeCell ref="A285:J285"/>
    <mergeCell ref="A286:J286"/>
    <mergeCell ref="F287:F306"/>
    <mergeCell ref="H287:H306"/>
    <mergeCell ref="A307:J307"/>
    <mergeCell ref="A308:J308"/>
    <mergeCell ref="A228:J228"/>
    <mergeCell ref="A229:J229"/>
    <mergeCell ref="A230:A284"/>
    <mergeCell ref="B230:B284"/>
    <mergeCell ref="F230:F279"/>
    <mergeCell ref="G230:G284"/>
    <mergeCell ref="H230:H279"/>
    <mergeCell ref="F280:F284"/>
    <mergeCell ref="H280:H284"/>
    <mergeCell ref="B334:B339"/>
    <mergeCell ref="F318:F333"/>
    <mergeCell ref="F340:F346"/>
    <mergeCell ref="B340:B346"/>
    <mergeCell ref="A318:A346"/>
    <mergeCell ref="A316:I316"/>
    <mergeCell ref="A317:I317"/>
    <mergeCell ref="B318:B333"/>
    <mergeCell ref="A314:C314"/>
    <mergeCell ref="D314:D315"/>
    <mergeCell ref="E314:E315"/>
    <mergeCell ref="F314:F315"/>
    <mergeCell ref="G314:G315"/>
    <mergeCell ref="H314:I314"/>
    <mergeCell ref="F367:F391"/>
    <mergeCell ref="A393:I393"/>
    <mergeCell ref="A351:I351"/>
    <mergeCell ref="B352:B364"/>
    <mergeCell ref="A352:A364"/>
    <mergeCell ref="F352:F364"/>
    <mergeCell ref="A366:I366"/>
    <mergeCell ref="A348:C348"/>
    <mergeCell ref="D348:D349"/>
    <mergeCell ref="E348:E349"/>
    <mergeCell ref="F348:F349"/>
    <mergeCell ref="G348:G349"/>
    <mergeCell ref="H348:I348"/>
  </mergeCells>
  <conditionalFormatting sqref="I310:I313 I286 I164:I167 I1:I55 I172:I284 I142:I156 I74 I93:I133 I318:I347 I350 I352:I365 I367:I392 I394:I1048576">
    <cfRule type="duplicateValues" dxfId="63" priority="9"/>
  </conditionalFormatting>
  <conditionalFormatting sqref="I168:I169">
    <cfRule type="duplicateValues" dxfId="62" priority="8"/>
  </conditionalFormatting>
  <conditionalFormatting sqref="I56:I73">
    <cfRule type="duplicateValues" dxfId="61" priority="7"/>
  </conditionalFormatting>
  <conditionalFormatting sqref="I92">
    <cfRule type="duplicateValues" dxfId="60" priority="6"/>
  </conditionalFormatting>
  <conditionalFormatting sqref="I75:I91">
    <cfRule type="duplicateValues" dxfId="59" priority="10"/>
  </conditionalFormatting>
  <conditionalFormatting sqref="I134:I141">
    <cfRule type="duplicateValues" dxfId="58" priority="11"/>
  </conditionalFormatting>
  <conditionalFormatting sqref="I158 I162:I163">
    <cfRule type="duplicateValues" dxfId="57" priority="12"/>
  </conditionalFormatting>
  <conditionalFormatting sqref="I161">
    <cfRule type="duplicateValues" dxfId="56" priority="5"/>
  </conditionalFormatting>
  <conditionalFormatting sqref="I160">
    <cfRule type="duplicateValues" dxfId="55" priority="4"/>
  </conditionalFormatting>
  <conditionalFormatting sqref="I159">
    <cfRule type="duplicateValues" dxfId="54" priority="3"/>
  </conditionalFormatting>
  <conditionalFormatting sqref="I314:I315">
    <cfRule type="duplicateValues" dxfId="53" priority="2"/>
  </conditionalFormatting>
  <conditionalFormatting sqref="I348:I349">
    <cfRule type="duplicateValues" dxfId="52" priority="1"/>
  </conditionalFormatting>
  <pageMargins left="0.25" right="0.25" top="0.75" bottom="0.75" header="0.3" footer="0.3"/>
  <pageSetup paperSize="9" scale="61" fitToHeight="0" orientation="portrait" r:id="rId1"/>
  <rowBreaks count="5" manualBreakCount="5">
    <brk id="228" max="9" man="1"/>
    <brk id="142" max="9" man="1"/>
    <brk id="20" max="9" man="1"/>
    <brk id="118" max="9" man="1"/>
    <brk id="285" max="9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W50"/>
  <sheetViews>
    <sheetView zoomScale="85" zoomScaleNormal="85" workbookViewId="0">
      <selection activeCell="H20" sqref="H20"/>
    </sheetView>
  </sheetViews>
  <sheetFormatPr defaultRowHeight="14.4" x14ac:dyDescent="0.3"/>
  <cols>
    <col min="1" max="1" width="9.109375" customWidth="1"/>
    <col min="2" max="2" width="13" style="23" customWidth="1"/>
    <col min="4" max="4" width="9.109375" style="8" customWidth="1"/>
    <col min="9" max="9" width="12.6640625" bestFit="1" customWidth="1"/>
    <col min="13" max="13" width="8.88671875" style="8"/>
    <col min="14" max="14" width="11" customWidth="1"/>
    <col min="17" max="17" width="9" bestFit="1" customWidth="1"/>
  </cols>
  <sheetData>
    <row r="1" spans="1:23" x14ac:dyDescent="0.3">
      <c r="A1" s="70" t="s">
        <v>346</v>
      </c>
      <c r="B1" s="8"/>
      <c r="C1" s="166"/>
      <c r="D1" s="167"/>
      <c r="E1" s="8"/>
      <c r="L1" s="243" t="s">
        <v>663</v>
      </c>
      <c r="M1" s="71"/>
      <c r="N1" s="243" t="s">
        <v>664</v>
      </c>
      <c r="O1" s="71"/>
    </row>
    <row r="2" spans="1:23" x14ac:dyDescent="0.3">
      <c r="A2" s="72" t="s">
        <v>636</v>
      </c>
      <c r="B2" s="73" t="s">
        <v>347</v>
      </c>
      <c r="C2" s="168" t="s">
        <v>353</v>
      </c>
      <c r="D2" s="168">
        <v>11</v>
      </c>
      <c r="E2" s="409" t="s">
        <v>354</v>
      </c>
      <c r="G2" s="446" t="s">
        <v>355</v>
      </c>
      <c r="L2" s="170" t="s">
        <v>281</v>
      </c>
      <c r="M2" s="244" t="s">
        <v>636</v>
      </c>
      <c r="N2" s="73" t="s">
        <v>347</v>
      </c>
      <c r="O2" s="168" t="s">
        <v>353</v>
      </c>
      <c r="P2" s="168"/>
      <c r="Q2" s="170"/>
      <c r="R2" s="170"/>
    </row>
    <row r="3" spans="1:23" ht="15" customHeight="1" x14ac:dyDescent="0.3">
      <c r="A3" s="72" t="s">
        <v>637</v>
      </c>
      <c r="B3" s="73" t="s">
        <v>347</v>
      </c>
      <c r="C3" s="168" t="s">
        <v>353</v>
      </c>
      <c r="D3" s="168">
        <v>12</v>
      </c>
      <c r="E3" s="410"/>
      <c r="G3" t="s">
        <v>581</v>
      </c>
      <c r="L3" s="170" t="s">
        <v>582</v>
      </c>
      <c r="M3" s="244" t="s">
        <v>637</v>
      </c>
      <c r="N3" s="73" t="s">
        <v>347</v>
      </c>
      <c r="O3" s="168" t="s">
        <v>353</v>
      </c>
      <c r="P3" s="168"/>
      <c r="Q3" s="170"/>
      <c r="R3" s="170"/>
    </row>
    <row r="4" spans="1:23" ht="15" thickBot="1" x14ac:dyDescent="0.35">
      <c r="A4" s="227" t="s">
        <v>348</v>
      </c>
      <c r="B4" s="241" t="s">
        <v>347</v>
      </c>
      <c r="C4" s="228" t="s">
        <v>353</v>
      </c>
      <c r="D4" s="229">
        <v>13</v>
      </c>
      <c r="E4" s="410"/>
      <c r="G4" t="s">
        <v>356</v>
      </c>
      <c r="L4" s="170" t="s">
        <v>349</v>
      </c>
      <c r="M4" s="241" t="s">
        <v>348</v>
      </c>
      <c r="N4" s="241" t="s">
        <v>347</v>
      </c>
      <c r="O4" s="228" t="s">
        <v>353</v>
      </c>
      <c r="P4" s="169"/>
      <c r="Q4" s="170"/>
      <c r="R4" s="170"/>
    </row>
    <row r="5" spans="1:23" x14ac:dyDescent="0.3">
      <c r="A5" s="232" t="s">
        <v>638</v>
      </c>
      <c r="B5" s="234" t="s">
        <v>582</v>
      </c>
      <c r="C5" s="233" t="s">
        <v>353</v>
      </c>
      <c r="D5" s="234">
        <v>25</v>
      </c>
      <c r="E5" s="411" t="s">
        <v>650</v>
      </c>
      <c r="G5" t="s">
        <v>357</v>
      </c>
      <c r="L5" s="170" t="s">
        <v>591</v>
      </c>
      <c r="M5" s="245" t="s">
        <v>638</v>
      </c>
      <c r="N5" s="234" t="s">
        <v>582</v>
      </c>
      <c r="O5" s="233" t="s">
        <v>353</v>
      </c>
      <c r="P5" s="169"/>
      <c r="Q5" s="170"/>
      <c r="R5" s="170"/>
    </row>
    <row r="6" spans="1:23" x14ac:dyDescent="0.3">
      <c r="A6" s="235" t="s">
        <v>639</v>
      </c>
      <c r="B6" s="169" t="s">
        <v>582</v>
      </c>
      <c r="C6" s="168" t="s">
        <v>353</v>
      </c>
      <c r="D6" s="169">
        <v>26</v>
      </c>
      <c r="E6" s="412"/>
      <c r="L6" s="170" t="s">
        <v>592</v>
      </c>
      <c r="M6" s="246" t="s">
        <v>639</v>
      </c>
      <c r="N6" s="169" t="s">
        <v>582</v>
      </c>
      <c r="O6" s="168" t="s">
        <v>353</v>
      </c>
      <c r="P6" s="168"/>
      <c r="Q6" s="170"/>
      <c r="R6" s="170"/>
      <c r="W6" t="s">
        <v>597</v>
      </c>
    </row>
    <row r="7" spans="1:23" x14ac:dyDescent="0.3">
      <c r="A7" s="235" t="s">
        <v>640</v>
      </c>
      <c r="B7" s="73" t="s">
        <v>347</v>
      </c>
      <c r="C7" s="168" t="s">
        <v>353</v>
      </c>
      <c r="D7" s="169">
        <v>17</v>
      </c>
      <c r="E7" s="412"/>
      <c r="G7" s="445" t="s">
        <v>358</v>
      </c>
      <c r="L7" s="170" t="s">
        <v>347</v>
      </c>
      <c r="M7" s="246" t="s">
        <v>640</v>
      </c>
      <c r="N7" s="73" t="s">
        <v>347</v>
      </c>
      <c r="O7" s="168" t="s">
        <v>353</v>
      </c>
      <c r="P7" s="168"/>
      <c r="Q7" s="170"/>
      <c r="R7" s="170"/>
      <c r="W7" t="s">
        <v>598</v>
      </c>
    </row>
    <row r="8" spans="1:23" x14ac:dyDescent="0.3">
      <c r="A8" s="235" t="s">
        <v>641</v>
      </c>
      <c r="B8" s="169" t="s">
        <v>349</v>
      </c>
      <c r="C8" s="168" t="s">
        <v>353</v>
      </c>
      <c r="D8" s="169">
        <v>18</v>
      </c>
      <c r="E8" s="412"/>
      <c r="G8" t="s">
        <v>359</v>
      </c>
      <c r="L8" s="170" t="s">
        <v>594</v>
      </c>
      <c r="M8" s="246" t="s">
        <v>641</v>
      </c>
      <c r="N8" s="169" t="s">
        <v>349</v>
      </c>
      <c r="O8" s="168" t="s">
        <v>353</v>
      </c>
      <c r="P8" s="169"/>
      <c r="Q8" s="172"/>
      <c r="R8" s="170"/>
      <c r="W8" t="s">
        <v>599</v>
      </c>
    </row>
    <row r="9" spans="1:23" x14ac:dyDescent="0.3">
      <c r="A9" s="236" t="s">
        <v>645</v>
      </c>
      <c r="B9" s="169" t="s">
        <v>593</v>
      </c>
      <c r="C9" s="168" t="s">
        <v>353</v>
      </c>
      <c r="D9" s="169">
        <v>20</v>
      </c>
      <c r="E9" s="412"/>
      <c r="G9" t="s">
        <v>360</v>
      </c>
      <c r="L9" s="172" t="s">
        <v>352</v>
      </c>
      <c r="M9" s="247" t="s">
        <v>645</v>
      </c>
      <c r="N9" s="169" t="s">
        <v>593</v>
      </c>
      <c r="O9" s="168" t="s">
        <v>353</v>
      </c>
      <c r="P9" s="169"/>
      <c r="Q9" s="170"/>
      <c r="R9" s="172"/>
      <c r="W9" t="s">
        <v>600</v>
      </c>
    </row>
    <row r="10" spans="1:23" x14ac:dyDescent="0.3">
      <c r="A10" s="235" t="s">
        <v>642</v>
      </c>
      <c r="B10" s="169" t="s">
        <v>592</v>
      </c>
      <c r="C10" s="168" t="s">
        <v>353</v>
      </c>
      <c r="D10" s="169">
        <v>21</v>
      </c>
      <c r="E10" s="412"/>
      <c r="G10" t="s">
        <v>361</v>
      </c>
      <c r="L10" s="170" t="s">
        <v>347</v>
      </c>
      <c r="M10" s="246" t="s">
        <v>642</v>
      </c>
      <c r="N10" s="170" t="s">
        <v>592</v>
      </c>
      <c r="O10" s="168" t="s">
        <v>353</v>
      </c>
      <c r="P10" s="169"/>
      <c r="Q10" s="170"/>
      <c r="R10" s="170"/>
      <c r="W10" t="s">
        <v>601</v>
      </c>
    </row>
    <row r="11" spans="1:23" x14ac:dyDescent="0.3">
      <c r="A11" s="235" t="s">
        <v>643</v>
      </c>
      <c r="B11" s="169" t="s">
        <v>592</v>
      </c>
      <c r="C11" s="168" t="s">
        <v>353</v>
      </c>
      <c r="D11" s="169">
        <v>22</v>
      </c>
      <c r="E11" s="412"/>
      <c r="G11" t="s">
        <v>362</v>
      </c>
      <c r="L11" s="170" t="s">
        <v>593</v>
      </c>
      <c r="M11" s="246" t="s">
        <v>643</v>
      </c>
      <c r="N11" s="170" t="s">
        <v>592</v>
      </c>
      <c r="O11" s="168" t="s">
        <v>353</v>
      </c>
      <c r="P11" s="169"/>
      <c r="Q11" s="170"/>
      <c r="R11" s="170"/>
      <c r="W11" t="s">
        <v>602</v>
      </c>
    </row>
    <row r="12" spans="1:23" x14ac:dyDescent="0.3">
      <c r="A12" s="235" t="s">
        <v>644</v>
      </c>
      <c r="B12" s="169" t="s">
        <v>592</v>
      </c>
      <c r="C12" s="168" t="s">
        <v>353</v>
      </c>
      <c r="D12" s="169">
        <v>23</v>
      </c>
      <c r="E12" s="412"/>
      <c r="G12" t="s">
        <v>363</v>
      </c>
      <c r="L12" s="71"/>
      <c r="M12" s="246" t="s">
        <v>644</v>
      </c>
      <c r="N12" s="170" t="s">
        <v>592</v>
      </c>
      <c r="O12" s="168" t="s">
        <v>353</v>
      </c>
      <c r="P12" s="169"/>
      <c r="Q12" s="171"/>
    </row>
    <row r="13" spans="1:23" x14ac:dyDescent="0.3">
      <c r="A13" s="235" t="s">
        <v>61</v>
      </c>
      <c r="B13" s="169" t="s">
        <v>591</v>
      </c>
      <c r="C13" s="168" t="s">
        <v>353</v>
      </c>
      <c r="D13" s="169">
        <v>24</v>
      </c>
      <c r="E13" s="412"/>
      <c r="G13" t="s">
        <v>364</v>
      </c>
      <c r="L13" s="71"/>
      <c r="M13" s="246" t="s">
        <v>61</v>
      </c>
      <c r="N13" s="169" t="s">
        <v>591</v>
      </c>
      <c r="O13" s="168" t="s">
        <v>353</v>
      </c>
      <c r="P13" s="173"/>
      <c r="Q13" s="171"/>
      <c r="W13" t="s">
        <v>603</v>
      </c>
    </row>
    <row r="14" spans="1:23" ht="15" thickBot="1" x14ac:dyDescent="0.35">
      <c r="A14" s="237" t="s">
        <v>647</v>
      </c>
      <c r="B14" s="240" t="s">
        <v>281</v>
      </c>
      <c r="C14" s="238" t="s">
        <v>353</v>
      </c>
      <c r="D14" s="238">
        <v>14</v>
      </c>
      <c r="E14" s="413"/>
      <c r="G14" t="s">
        <v>365</v>
      </c>
      <c r="L14" s="71"/>
      <c r="M14" s="248" t="s">
        <v>647</v>
      </c>
      <c r="N14" s="240" t="s">
        <v>281</v>
      </c>
      <c r="O14" s="238" t="s">
        <v>353</v>
      </c>
      <c r="P14" s="173"/>
      <c r="Q14" s="171"/>
      <c r="W14" t="s">
        <v>604</v>
      </c>
    </row>
    <row r="15" spans="1:23" ht="15" customHeight="1" x14ac:dyDescent="0.3">
      <c r="A15" s="230" t="s">
        <v>648</v>
      </c>
      <c r="B15" s="242" t="s">
        <v>347</v>
      </c>
      <c r="C15" s="231" t="s">
        <v>353</v>
      </c>
      <c r="D15" s="231">
        <v>31</v>
      </c>
      <c r="E15" s="414" t="s">
        <v>651</v>
      </c>
      <c r="L15" s="71"/>
      <c r="M15" s="249" t="s">
        <v>648</v>
      </c>
      <c r="N15" s="242" t="s">
        <v>347</v>
      </c>
      <c r="O15" s="231" t="s">
        <v>353</v>
      </c>
      <c r="P15" s="169"/>
      <c r="Q15" s="171"/>
      <c r="W15" t="s">
        <v>605</v>
      </c>
    </row>
    <row r="16" spans="1:23" x14ac:dyDescent="0.3">
      <c r="A16" s="78" t="s">
        <v>649</v>
      </c>
      <c r="B16" s="73" t="s">
        <v>347</v>
      </c>
      <c r="C16" s="168" t="s">
        <v>353</v>
      </c>
      <c r="D16" s="73">
        <v>32</v>
      </c>
      <c r="E16" s="415"/>
      <c r="L16" s="71"/>
      <c r="M16" s="74" t="s">
        <v>649</v>
      </c>
      <c r="N16" s="73" t="s">
        <v>347</v>
      </c>
      <c r="O16" s="168" t="s">
        <v>353</v>
      </c>
      <c r="P16" s="169"/>
      <c r="Q16" s="171"/>
      <c r="W16" t="s">
        <v>606</v>
      </c>
    </row>
    <row r="17" spans="1:23" x14ac:dyDescent="0.3">
      <c r="A17" s="58" t="s">
        <v>350</v>
      </c>
      <c r="B17" s="73" t="s">
        <v>347</v>
      </c>
      <c r="C17" s="168" t="s">
        <v>353</v>
      </c>
      <c r="D17" s="80">
        <v>33</v>
      </c>
      <c r="E17" s="415"/>
      <c r="L17" s="71"/>
      <c r="M17" s="80" t="s">
        <v>350</v>
      </c>
      <c r="N17" s="73" t="s">
        <v>347</v>
      </c>
      <c r="O17" s="168" t="s">
        <v>353</v>
      </c>
      <c r="P17" s="169"/>
      <c r="Q17" s="171"/>
      <c r="W17" t="s">
        <v>607</v>
      </c>
    </row>
    <row r="18" spans="1:23" x14ac:dyDescent="0.3">
      <c r="L18" s="79"/>
      <c r="M18" s="74" t="s">
        <v>653</v>
      </c>
      <c r="N18" s="73" t="s">
        <v>347</v>
      </c>
      <c r="O18" s="168" t="s">
        <v>353</v>
      </c>
      <c r="P18" s="169"/>
      <c r="Q18" s="171"/>
      <c r="W18" t="s">
        <v>608</v>
      </c>
    </row>
    <row r="19" spans="1:23" x14ac:dyDescent="0.3">
      <c r="A19" s="77" t="s">
        <v>351</v>
      </c>
      <c r="B19" s="71"/>
      <c r="C19" s="76"/>
      <c r="D19" s="76"/>
      <c r="E19" s="8"/>
      <c r="L19" s="71"/>
      <c r="M19" s="74" t="s">
        <v>654</v>
      </c>
      <c r="N19" s="170" t="s">
        <v>594</v>
      </c>
      <c r="O19" s="74" t="s">
        <v>338</v>
      </c>
      <c r="P19" s="169"/>
      <c r="Q19" s="171"/>
      <c r="W19" t="s">
        <v>609</v>
      </c>
    </row>
    <row r="20" spans="1:23" ht="15" customHeight="1" x14ac:dyDescent="0.3">
      <c r="A20" s="78" t="s">
        <v>653</v>
      </c>
      <c r="B20" s="73" t="s">
        <v>347</v>
      </c>
      <c r="C20" s="168" t="s">
        <v>353</v>
      </c>
      <c r="D20" s="73">
        <v>15</v>
      </c>
      <c r="E20" s="416" t="s">
        <v>646</v>
      </c>
      <c r="L20" s="71"/>
      <c r="M20" s="74" t="s">
        <v>655</v>
      </c>
      <c r="N20" s="170" t="s">
        <v>594</v>
      </c>
      <c r="O20" s="74" t="s">
        <v>339</v>
      </c>
      <c r="P20" s="169"/>
      <c r="Q20" s="171"/>
      <c r="W20" t="s">
        <v>610</v>
      </c>
    </row>
    <row r="21" spans="1:23" x14ac:dyDescent="0.3">
      <c r="A21" s="78"/>
      <c r="B21" s="73"/>
      <c r="C21" s="73"/>
      <c r="D21" s="73"/>
      <c r="E21" s="417"/>
      <c r="L21" s="79"/>
      <c r="M21" s="74"/>
      <c r="N21" s="174"/>
      <c r="O21" s="169"/>
      <c r="P21" s="169"/>
      <c r="Q21" s="171"/>
      <c r="W21" t="s">
        <v>611</v>
      </c>
    </row>
    <row r="22" spans="1:23" x14ac:dyDescent="0.3">
      <c r="A22" s="78"/>
      <c r="B22" s="74"/>
      <c r="C22" s="73"/>
      <c r="D22" s="73"/>
      <c r="E22" s="417"/>
      <c r="N22" s="171"/>
      <c r="O22" s="171"/>
      <c r="P22" s="171"/>
      <c r="Q22" s="171"/>
      <c r="W22" t="s">
        <v>612</v>
      </c>
    </row>
    <row r="23" spans="1:23" x14ac:dyDescent="0.3">
      <c r="A23" s="78"/>
      <c r="B23" s="74"/>
      <c r="C23" s="73"/>
      <c r="D23" s="73"/>
      <c r="E23" s="418"/>
      <c r="N23" s="171"/>
      <c r="O23" s="171"/>
      <c r="P23" s="171"/>
      <c r="Q23" s="171"/>
      <c r="W23" t="s">
        <v>613</v>
      </c>
    </row>
    <row r="24" spans="1:23" x14ac:dyDescent="0.3">
      <c r="W24" t="s">
        <v>614</v>
      </c>
    </row>
    <row r="25" spans="1:23" x14ac:dyDescent="0.3">
      <c r="A25" s="78" t="s">
        <v>654</v>
      </c>
      <c r="B25" s="74" t="s">
        <v>662</v>
      </c>
      <c r="C25" s="74" t="s">
        <v>338</v>
      </c>
      <c r="D25" s="80">
        <v>1</v>
      </c>
      <c r="E25" s="80"/>
      <c r="M25"/>
      <c r="W25" t="s">
        <v>615</v>
      </c>
    </row>
    <row r="26" spans="1:23" x14ac:dyDescent="0.3">
      <c r="A26" s="78" t="s">
        <v>655</v>
      </c>
      <c r="B26" s="74" t="s">
        <v>662</v>
      </c>
      <c r="C26" s="74" t="s">
        <v>339</v>
      </c>
      <c r="D26" s="25">
        <v>2</v>
      </c>
      <c r="E26" s="80"/>
      <c r="M26"/>
      <c r="W26" t="s">
        <v>616</v>
      </c>
    </row>
    <row r="27" spans="1:23" x14ac:dyDescent="0.3">
      <c r="M27"/>
      <c r="W27" t="s">
        <v>617</v>
      </c>
    </row>
    <row r="28" spans="1:23" ht="15" thickBot="1" x14ac:dyDescent="0.35">
      <c r="A28" s="239" t="s">
        <v>658</v>
      </c>
      <c r="B28" s="71"/>
      <c r="C28" s="76"/>
      <c r="D28" s="76"/>
      <c r="E28" s="8"/>
      <c r="M28"/>
      <c r="W28" t="s">
        <v>632</v>
      </c>
    </row>
    <row r="29" spans="1:23" x14ac:dyDescent="0.3">
      <c r="A29" s="78" t="s">
        <v>660</v>
      </c>
      <c r="B29" s="234" t="s">
        <v>582</v>
      </c>
      <c r="C29" s="168" t="s">
        <v>331</v>
      </c>
      <c r="D29" s="73"/>
      <c r="E29" s="226" t="s">
        <v>646</v>
      </c>
      <c r="M29"/>
      <c r="W29" t="s">
        <v>633</v>
      </c>
    </row>
    <row r="30" spans="1:23" x14ac:dyDescent="0.3">
      <c r="A30" s="78" t="s">
        <v>647</v>
      </c>
      <c r="B30" s="169" t="s">
        <v>582</v>
      </c>
      <c r="C30" s="73"/>
      <c r="D30" s="73"/>
      <c r="E30" s="212"/>
      <c r="M30"/>
      <c r="W30" t="s">
        <v>618</v>
      </c>
    </row>
    <row r="31" spans="1:23" x14ac:dyDescent="0.3">
      <c r="A31" s="78" t="s">
        <v>348</v>
      </c>
      <c r="B31" s="169" t="s">
        <v>661</v>
      </c>
      <c r="C31" s="73"/>
      <c r="D31" s="73"/>
      <c r="E31" s="212"/>
      <c r="M31"/>
      <c r="W31" t="s">
        <v>619</v>
      </c>
    </row>
    <row r="32" spans="1:23" x14ac:dyDescent="0.3">
      <c r="A32" s="78" t="s">
        <v>276</v>
      </c>
      <c r="B32" s="74" t="s">
        <v>591</v>
      </c>
      <c r="C32" s="73"/>
      <c r="D32" s="73"/>
      <c r="E32" s="213"/>
      <c r="M32"/>
      <c r="W32" t="s">
        <v>620</v>
      </c>
    </row>
    <row r="33" spans="1:23" x14ac:dyDescent="0.3">
      <c r="A33" s="75" t="s">
        <v>61</v>
      </c>
      <c r="B33" s="23" t="s">
        <v>591</v>
      </c>
      <c r="M33"/>
      <c r="W33" t="s">
        <v>621</v>
      </c>
    </row>
    <row r="34" spans="1:23" x14ac:dyDescent="0.3">
      <c r="A34" s="77" t="s">
        <v>656</v>
      </c>
      <c r="B34" s="71"/>
      <c r="C34" s="76"/>
      <c r="D34" s="76"/>
      <c r="E34" s="8"/>
      <c r="F34" s="79"/>
      <c r="M34"/>
      <c r="W34" t="s">
        <v>622</v>
      </c>
    </row>
    <row r="35" spans="1:23" x14ac:dyDescent="0.3">
      <c r="A35" s="78" t="s">
        <v>653</v>
      </c>
      <c r="B35" s="73" t="s">
        <v>347</v>
      </c>
      <c r="C35" s="168" t="s">
        <v>329</v>
      </c>
      <c r="D35" s="73"/>
      <c r="E35" s="226" t="s">
        <v>646</v>
      </c>
      <c r="F35" s="79"/>
      <c r="M35"/>
      <c r="W35" t="s">
        <v>619</v>
      </c>
    </row>
    <row r="36" spans="1:23" x14ac:dyDescent="0.3">
      <c r="A36" s="78"/>
      <c r="B36" s="73"/>
      <c r="C36" s="73"/>
      <c r="D36" s="73"/>
      <c r="E36" s="212"/>
      <c r="F36" s="79"/>
      <c r="M36"/>
      <c r="W36" t="s">
        <v>623</v>
      </c>
    </row>
    <row r="37" spans="1:23" x14ac:dyDescent="0.3">
      <c r="A37" s="78"/>
      <c r="B37" s="74"/>
      <c r="C37" s="73"/>
      <c r="D37" s="73"/>
      <c r="E37" s="212"/>
      <c r="F37" s="79"/>
      <c r="M37"/>
      <c r="W37" t="s">
        <v>624</v>
      </c>
    </row>
    <row r="38" spans="1:23" x14ac:dyDescent="0.3">
      <c r="A38" s="78"/>
      <c r="B38" s="74"/>
      <c r="C38" s="73"/>
      <c r="D38" s="73"/>
      <c r="E38" s="213"/>
      <c r="M38"/>
      <c r="W38" t="s">
        <v>619</v>
      </c>
    </row>
    <row r="39" spans="1:23" x14ac:dyDescent="0.3">
      <c r="M39"/>
      <c r="W39" t="s">
        <v>634</v>
      </c>
    </row>
    <row r="40" spans="1:23" x14ac:dyDescent="0.3">
      <c r="A40" s="77" t="s">
        <v>657</v>
      </c>
      <c r="B40" s="71"/>
      <c r="C40" s="76"/>
      <c r="D40" s="76"/>
      <c r="E40" s="8"/>
      <c r="M40"/>
      <c r="W40" t="s">
        <v>635</v>
      </c>
    </row>
    <row r="41" spans="1:23" x14ac:dyDescent="0.3">
      <c r="A41" s="78" t="s">
        <v>653</v>
      </c>
      <c r="B41" s="73" t="s">
        <v>347</v>
      </c>
      <c r="C41" s="168" t="s">
        <v>330</v>
      </c>
      <c r="D41" s="73"/>
      <c r="E41" s="226" t="s">
        <v>646</v>
      </c>
      <c r="M41"/>
      <c r="W41" t="s">
        <v>625</v>
      </c>
    </row>
    <row r="42" spans="1:23" x14ac:dyDescent="0.3">
      <c r="A42" s="78"/>
      <c r="B42" s="73"/>
      <c r="C42" s="73"/>
      <c r="D42" s="73"/>
      <c r="E42" s="212"/>
      <c r="M42"/>
      <c r="W42" t="s">
        <v>626</v>
      </c>
    </row>
    <row r="43" spans="1:23" x14ac:dyDescent="0.3">
      <c r="A43" s="78"/>
      <c r="B43" s="74"/>
      <c r="C43" s="73"/>
      <c r="D43" s="73"/>
      <c r="E43" s="212"/>
      <c r="M43"/>
      <c r="W43" t="s">
        <v>627</v>
      </c>
    </row>
    <row r="44" spans="1:23" x14ac:dyDescent="0.3">
      <c r="A44" s="78"/>
      <c r="B44" s="74"/>
      <c r="C44" s="73"/>
      <c r="D44" s="73"/>
      <c r="E44" s="213"/>
      <c r="M44"/>
    </row>
    <row r="45" spans="1:23" x14ac:dyDescent="0.3">
      <c r="M45"/>
    </row>
    <row r="46" spans="1:23" x14ac:dyDescent="0.3">
      <c r="A46" s="77" t="s">
        <v>659</v>
      </c>
      <c r="B46" s="71"/>
      <c r="C46" s="76"/>
      <c r="D46" s="76"/>
      <c r="E46" s="8"/>
      <c r="M46"/>
      <c r="W46" s="34" t="s">
        <v>797</v>
      </c>
    </row>
    <row r="47" spans="1:23" x14ac:dyDescent="0.3">
      <c r="A47" s="78" t="s">
        <v>653</v>
      </c>
      <c r="B47" s="73" t="s">
        <v>347</v>
      </c>
      <c r="C47" s="168" t="s">
        <v>652</v>
      </c>
      <c r="D47" s="73"/>
      <c r="E47" s="226" t="s">
        <v>646</v>
      </c>
      <c r="M47"/>
      <c r="W47" t="s">
        <v>796</v>
      </c>
    </row>
    <row r="48" spans="1:23" x14ac:dyDescent="0.3">
      <c r="A48" s="78"/>
      <c r="B48" s="73"/>
      <c r="C48" s="73"/>
      <c r="D48" s="73"/>
      <c r="E48" s="212"/>
      <c r="W48" t="s">
        <v>798</v>
      </c>
    </row>
    <row r="49" spans="1:5" x14ac:dyDescent="0.3">
      <c r="A49" s="78"/>
      <c r="B49" s="74"/>
      <c r="C49" s="73"/>
      <c r="D49" s="73"/>
      <c r="E49" s="212"/>
    </row>
    <row r="50" spans="1:5" x14ac:dyDescent="0.3">
      <c r="A50" s="78"/>
      <c r="B50" s="74"/>
      <c r="C50" s="73"/>
      <c r="D50" s="73"/>
      <c r="E50" s="213"/>
    </row>
  </sheetData>
  <sortState ref="I17:I32">
    <sortCondition ref="I17"/>
  </sortState>
  <mergeCells count="4">
    <mergeCell ref="E2:E4"/>
    <mergeCell ref="E5:E14"/>
    <mergeCell ref="E15:E17"/>
    <mergeCell ref="E20:E23"/>
  </mergeCells>
  <conditionalFormatting sqref="A26">
    <cfRule type="duplicateValues" dxfId="51" priority="41"/>
    <cfRule type="duplicateValues" dxfId="50" priority="42"/>
  </conditionalFormatting>
  <conditionalFormatting sqref="L20 L16:L17">
    <cfRule type="duplicateValues" dxfId="49" priority="39"/>
    <cfRule type="duplicateValues" dxfId="48" priority="40"/>
  </conditionalFormatting>
  <conditionalFormatting sqref="M21">
    <cfRule type="duplicateValues" dxfId="47" priority="33"/>
    <cfRule type="duplicateValues" dxfId="46" priority="34"/>
  </conditionalFormatting>
  <conditionalFormatting sqref="A25 A22:A23">
    <cfRule type="duplicateValues" dxfId="45" priority="107"/>
    <cfRule type="duplicateValues" dxfId="44" priority="108"/>
  </conditionalFormatting>
  <conditionalFormatting sqref="A31:A33">
    <cfRule type="duplicateValues" dxfId="43" priority="19"/>
    <cfRule type="duplicateValues" dxfId="42" priority="20"/>
  </conditionalFormatting>
  <conditionalFormatting sqref="A37:A38">
    <cfRule type="duplicateValues" dxfId="41" priority="17"/>
    <cfRule type="duplicateValues" dxfId="40" priority="18"/>
  </conditionalFormatting>
  <conditionalFormatting sqref="A43:A44">
    <cfRule type="duplicateValues" dxfId="39" priority="15"/>
    <cfRule type="duplicateValues" dxfId="38" priority="16"/>
  </conditionalFormatting>
  <conditionalFormatting sqref="A49:A50">
    <cfRule type="duplicateValues" dxfId="37" priority="13"/>
    <cfRule type="duplicateValues" dxfId="36" priority="14"/>
  </conditionalFormatting>
  <conditionalFormatting sqref="M20">
    <cfRule type="duplicateValues" dxfId="35" priority="9"/>
    <cfRule type="duplicateValues" dxfId="34" priority="10"/>
  </conditionalFormatting>
  <conditionalFormatting sqref="M19">
    <cfRule type="duplicateValues" dxfId="33" priority="11"/>
    <cfRule type="duplicateValues" dxfId="32" priority="1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BE6E-577F-4E57-881C-4FBC3C9C722F}">
  <sheetPr codeName="Лист4"/>
  <dimension ref="A1"/>
  <sheetViews>
    <sheetView workbookViewId="0">
      <selection activeCell="J27" sqref="J27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8B86-F187-4364-8FA3-BC7E9D036265}">
  <sheetPr codeName="Лист7"/>
  <dimension ref="A1:X338"/>
  <sheetViews>
    <sheetView tabSelected="1" topLeftCell="C1" zoomScale="115" zoomScaleNormal="115" workbookViewId="0">
      <selection activeCell="M99" sqref="M99"/>
    </sheetView>
  </sheetViews>
  <sheetFormatPr defaultRowHeight="14.4" x14ac:dyDescent="0.3"/>
  <cols>
    <col min="4" max="4" width="37.5546875" customWidth="1"/>
    <col min="10" max="10" width="14.77734375" customWidth="1"/>
  </cols>
  <sheetData>
    <row r="1" spans="1:24" x14ac:dyDescent="0.3">
      <c r="A1" s="321" t="s">
        <v>57</v>
      </c>
      <c r="B1" s="321"/>
      <c r="C1" s="321"/>
      <c r="D1" s="309" t="s">
        <v>0</v>
      </c>
      <c r="E1" s="309" t="s">
        <v>26</v>
      </c>
      <c r="F1" s="309" t="s">
        <v>27</v>
      </c>
      <c r="G1" s="319" t="s">
        <v>1</v>
      </c>
      <c r="H1" s="317" t="s">
        <v>58</v>
      </c>
      <c r="I1" s="318"/>
      <c r="J1" s="309" t="s">
        <v>50</v>
      </c>
      <c r="K1" s="308" t="s">
        <v>204</v>
      </c>
      <c r="L1" s="251" t="s">
        <v>205</v>
      </c>
      <c r="M1" s="251" t="s">
        <v>206</v>
      </c>
      <c r="N1" s="251" t="s">
        <v>455</v>
      </c>
      <c r="O1" s="250"/>
      <c r="P1" s="251" t="s">
        <v>588</v>
      </c>
      <c r="Q1" s="82"/>
      <c r="R1" s="82"/>
      <c r="S1" s="82"/>
      <c r="T1" s="82" t="s">
        <v>343</v>
      </c>
      <c r="U1" s="82"/>
      <c r="V1" s="82" t="s">
        <v>344</v>
      </c>
      <c r="W1" s="82" t="s">
        <v>345</v>
      </c>
    </row>
    <row r="2" spans="1:24" ht="22.8" x14ac:dyDescent="0.3">
      <c r="A2" s="221" t="s">
        <v>6</v>
      </c>
      <c r="B2" s="220" t="s">
        <v>5</v>
      </c>
      <c r="C2" s="101" t="s">
        <v>11</v>
      </c>
      <c r="D2" s="309"/>
      <c r="E2" s="309"/>
      <c r="F2" s="309"/>
      <c r="G2" s="320"/>
      <c r="H2" s="220" t="s">
        <v>5</v>
      </c>
      <c r="I2" s="102" t="s">
        <v>11</v>
      </c>
      <c r="J2" s="309"/>
      <c r="K2" s="308"/>
      <c r="L2" s="251"/>
      <c r="M2" s="251"/>
      <c r="N2" s="251"/>
      <c r="O2" s="250"/>
      <c r="P2" s="251"/>
      <c r="Q2" s="82"/>
      <c r="R2" s="82"/>
      <c r="S2" s="82"/>
      <c r="T2" s="82"/>
      <c r="U2" s="82"/>
      <c r="V2" s="82"/>
      <c r="W2" s="82"/>
    </row>
    <row r="3" spans="1:24" x14ac:dyDescent="0.3">
      <c r="A3" s="252"/>
      <c r="B3" s="253"/>
      <c r="C3" s="253"/>
      <c r="D3" s="253"/>
      <c r="E3" s="253"/>
      <c r="F3" s="253"/>
      <c r="G3" s="253"/>
      <c r="H3" s="253"/>
      <c r="I3" s="253"/>
      <c r="J3" s="254"/>
      <c r="K3" s="103"/>
      <c r="L3" s="104"/>
      <c r="M3" s="163"/>
      <c r="N3" s="82"/>
      <c r="O3" s="82"/>
      <c r="P3" s="98"/>
      <c r="Q3" s="82"/>
      <c r="R3" s="82"/>
      <c r="S3" s="82"/>
      <c r="T3" s="82"/>
      <c r="U3" s="82"/>
      <c r="V3" s="82"/>
      <c r="W3" s="82"/>
      <c r="X3" s="82"/>
    </row>
    <row r="4" spans="1:24" x14ac:dyDescent="0.3">
      <c r="A4" s="273" t="s">
        <v>670</v>
      </c>
      <c r="B4" s="273"/>
      <c r="C4" s="273"/>
      <c r="D4" s="273"/>
      <c r="E4" s="273"/>
      <c r="F4" s="273"/>
      <c r="G4" s="273"/>
      <c r="H4" s="273"/>
      <c r="I4" s="273"/>
      <c r="J4" s="273"/>
      <c r="K4" s="103"/>
      <c r="L4" s="104"/>
      <c r="M4" s="82"/>
      <c r="N4" s="82"/>
      <c r="O4" s="82"/>
      <c r="P4" s="98"/>
      <c r="Q4" s="82"/>
      <c r="R4" s="82"/>
      <c r="S4" s="82"/>
      <c r="T4" s="82"/>
      <c r="U4" s="82"/>
      <c r="V4" s="82"/>
      <c r="W4" s="82"/>
      <c r="X4" s="82"/>
    </row>
    <row r="5" spans="1:24" x14ac:dyDescent="0.3">
      <c r="A5" s="277">
        <v>11</v>
      </c>
      <c r="B5" s="268" t="s">
        <v>7</v>
      </c>
      <c r="C5" s="216" t="s">
        <v>12</v>
      </c>
      <c r="D5" s="105" t="str">
        <f>CONCATENATE("1QSF",P5," ",Q5)</f>
        <v>1QSF1 Положение</v>
      </c>
      <c r="E5" s="92" t="s">
        <v>207</v>
      </c>
      <c r="F5" s="278" t="s">
        <v>28</v>
      </c>
      <c r="G5" s="281" t="s">
        <v>353</v>
      </c>
      <c r="H5" s="282" t="s">
        <v>59</v>
      </c>
      <c r="I5" s="106">
        <v>4112</v>
      </c>
      <c r="J5" s="107" t="str">
        <f>IF(OR(D5="",D5="-"),"",CONCATENATE("SPT",K5,"/",N5,L5,".",M5))</f>
        <v>SPT18DC/P1A1_GGIO2.Ind1</v>
      </c>
      <c r="K5" s="177" t="s">
        <v>791</v>
      </c>
      <c r="L5" s="178" t="s">
        <v>245</v>
      </c>
      <c r="M5" s="104" t="s">
        <v>36</v>
      </c>
      <c r="N5" s="179" t="s">
        <v>487</v>
      </c>
      <c r="O5" s="82"/>
      <c r="P5" s="98">
        <v>1</v>
      </c>
      <c r="Q5" s="82" t="s">
        <v>209</v>
      </c>
      <c r="R5" s="82"/>
      <c r="S5" s="82">
        <f t="shared" ref="S5:S20" si="0">I5-4095</f>
        <v>17</v>
      </c>
      <c r="T5" s="82" t="str">
        <f t="shared" ref="T5:T20" si="1">_xlfn.CONCAT($T$1,S5)</f>
        <v>lb_dd17</v>
      </c>
      <c r="U5" s="82">
        <f t="shared" ref="U5:U20" si="2">S5+1999</f>
        <v>2016</v>
      </c>
      <c r="V5" s="82">
        <v>809</v>
      </c>
      <c r="W5" s="82">
        <v>1058</v>
      </c>
      <c r="X5" s="82"/>
    </row>
    <row r="6" spans="1:24" x14ac:dyDescent="0.3">
      <c r="A6" s="277"/>
      <c r="B6" s="268"/>
      <c r="C6" s="216" t="s">
        <v>8</v>
      </c>
      <c r="D6" s="105" t="str">
        <f t="shared" ref="D6:D20" si="3">CONCATENATE("1QSF",P6," ",Q6)</f>
        <v>1QSF1 Состояние</v>
      </c>
      <c r="E6" s="92" t="s">
        <v>208</v>
      </c>
      <c r="F6" s="279"/>
      <c r="G6" s="281"/>
      <c r="H6" s="283"/>
      <c r="I6" s="106">
        <v>4113</v>
      </c>
      <c r="J6" s="107" t="str">
        <f t="shared" ref="J6:J20" si="4">IF(OR(D6="",D6="-"),"",CONCATENATE("SPT",K6,"/",N6,L6,".",M6))</f>
        <v>SPT18DC/P1A1_GGIO2.Alm1</v>
      </c>
      <c r="K6" s="103" t="str">
        <f>K5</f>
        <v>18DC</v>
      </c>
      <c r="L6" s="104" t="s">
        <v>245</v>
      </c>
      <c r="M6" s="108" t="s">
        <v>37</v>
      </c>
      <c r="N6" s="82" t="s">
        <v>487</v>
      </c>
      <c r="O6" s="82"/>
      <c r="P6" s="98">
        <v>1</v>
      </c>
      <c r="Q6" s="82" t="s">
        <v>210</v>
      </c>
      <c r="R6" s="82"/>
      <c r="S6" s="82">
        <f t="shared" si="0"/>
        <v>18</v>
      </c>
      <c r="T6" s="82" t="str">
        <f t="shared" si="1"/>
        <v>lb_dd18</v>
      </c>
      <c r="U6" s="82">
        <f t="shared" si="2"/>
        <v>2017</v>
      </c>
      <c r="V6" s="82"/>
      <c r="W6" s="82"/>
      <c r="X6" s="82"/>
    </row>
    <row r="7" spans="1:24" x14ac:dyDescent="0.3">
      <c r="A7" s="277"/>
      <c r="B7" s="268"/>
      <c r="C7" s="216" t="s">
        <v>9</v>
      </c>
      <c r="D7" s="105" t="str">
        <f t="shared" si="3"/>
        <v>1QSF2 Положение</v>
      </c>
      <c r="E7" s="92" t="s">
        <v>207</v>
      </c>
      <c r="F7" s="279"/>
      <c r="G7" s="281"/>
      <c r="H7" s="283"/>
      <c r="I7" s="106">
        <v>4114</v>
      </c>
      <c r="J7" s="107" t="str">
        <f t="shared" si="4"/>
        <v>SPT18DC/P1A1_GGIO2.Ind2</v>
      </c>
      <c r="K7" s="103" t="str">
        <f t="shared" ref="K7:K20" si="5">K6</f>
        <v>18DC</v>
      </c>
      <c r="L7" s="104" t="s">
        <v>245</v>
      </c>
      <c r="M7" s="104" t="s">
        <v>38</v>
      </c>
      <c r="N7" s="82" t="s">
        <v>487</v>
      </c>
      <c r="O7" s="82"/>
      <c r="P7" s="98">
        <v>2</v>
      </c>
      <c r="Q7" s="82" t="s">
        <v>209</v>
      </c>
      <c r="R7" s="82"/>
      <c r="S7" s="82">
        <f t="shared" si="0"/>
        <v>19</v>
      </c>
      <c r="T7" s="82" t="str">
        <f t="shared" si="1"/>
        <v>lb_dd19</v>
      </c>
      <c r="U7" s="82">
        <f t="shared" si="2"/>
        <v>2018</v>
      </c>
      <c r="V7" s="82"/>
      <c r="W7" s="82"/>
      <c r="X7" s="82"/>
    </row>
    <row r="8" spans="1:24" x14ac:dyDescent="0.3">
      <c r="A8" s="277"/>
      <c r="B8" s="268"/>
      <c r="C8" s="216" t="s">
        <v>13</v>
      </c>
      <c r="D8" s="105" t="str">
        <f t="shared" si="3"/>
        <v>1QSF2 Состояние</v>
      </c>
      <c r="E8" s="92" t="s">
        <v>208</v>
      </c>
      <c r="F8" s="279"/>
      <c r="G8" s="281"/>
      <c r="H8" s="283"/>
      <c r="I8" s="106">
        <v>4115</v>
      </c>
      <c r="J8" s="107" t="str">
        <f t="shared" si="4"/>
        <v>SPT18DC/P1A1_GGIO2.Alm2</v>
      </c>
      <c r="K8" s="103" t="str">
        <f t="shared" si="5"/>
        <v>18DC</v>
      </c>
      <c r="L8" s="104" t="s">
        <v>245</v>
      </c>
      <c r="M8" s="108" t="s">
        <v>39</v>
      </c>
      <c r="N8" s="82" t="s">
        <v>487</v>
      </c>
      <c r="O8" s="82"/>
      <c r="P8" s="98">
        <v>2</v>
      </c>
      <c r="Q8" s="82" t="s">
        <v>210</v>
      </c>
      <c r="R8" s="82"/>
      <c r="S8" s="82">
        <f t="shared" si="0"/>
        <v>20</v>
      </c>
      <c r="T8" s="82" t="str">
        <f t="shared" si="1"/>
        <v>lb_dd20</v>
      </c>
      <c r="U8" s="82">
        <f t="shared" si="2"/>
        <v>2019</v>
      </c>
      <c r="V8" s="82"/>
      <c r="W8" s="82"/>
      <c r="X8" s="82"/>
    </row>
    <row r="9" spans="1:24" x14ac:dyDescent="0.3">
      <c r="A9" s="277"/>
      <c r="B9" s="268"/>
      <c r="C9" s="216" t="s">
        <v>14</v>
      </c>
      <c r="D9" s="105" t="str">
        <f t="shared" si="3"/>
        <v>1QSF3 Положение</v>
      </c>
      <c r="E9" s="92" t="s">
        <v>207</v>
      </c>
      <c r="F9" s="279"/>
      <c r="G9" s="281"/>
      <c r="H9" s="283"/>
      <c r="I9" s="106">
        <v>4116</v>
      </c>
      <c r="J9" s="107" t="str">
        <f t="shared" si="4"/>
        <v>SPT18DC/P1A1_GGIO2.Ind3</v>
      </c>
      <c r="K9" s="103" t="str">
        <f t="shared" si="5"/>
        <v>18DC</v>
      </c>
      <c r="L9" s="104" t="s">
        <v>245</v>
      </c>
      <c r="M9" s="104" t="s">
        <v>40</v>
      </c>
      <c r="N9" s="82" t="s">
        <v>487</v>
      </c>
      <c r="O9" s="82"/>
      <c r="P9" s="98">
        <v>3</v>
      </c>
      <c r="Q9" s="82" t="s">
        <v>209</v>
      </c>
      <c r="R9" s="82"/>
      <c r="S9" s="82">
        <f t="shared" si="0"/>
        <v>21</v>
      </c>
      <c r="T9" s="82" t="str">
        <f t="shared" si="1"/>
        <v>lb_dd21</v>
      </c>
      <c r="U9" s="82">
        <f t="shared" si="2"/>
        <v>2020</v>
      </c>
      <c r="V9" s="82"/>
      <c r="W9" s="82"/>
      <c r="X9" s="82"/>
    </row>
    <row r="10" spans="1:24" x14ac:dyDescent="0.3">
      <c r="A10" s="277"/>
      <c r="B10" s="268"/>
      <c r="C10" s="216" t="s">
        <v>15</v>
      </c>
      <c r="D10" s="105" t="str">
        <f t="shared" si="3"/>
        <v>1QSF3 Состояние</v>
      </c>
      <c r="E10" s="92" t="s">
        <v>208</v>
      </c>
      <c r="F10" s="279"/>
      <c r="G10" s="281"/>
      <c r="H10" s="283"/>
      <c r="I10" s="106">
        <v>4117</v>
      </c>
      <c r="J10" s="107" t="str">
        <f t="shared" si="4"/>
        <v>SPT18DC/P1A1_GGIO2.Alm3</v>
      </c>
      <c r="K10" s="103" t="str">
        <f t="shared" si="5"/>
        <v>18DC</v>
      </c>
      <c r="L10" s="104" t="s">
        <v>245</v>
      </c>
      <c r="M10" s="108" t="s">
        <v>41</v>
      </c>
      <c r="N10" s="82" t="s">
        <v>487</v>
      </c>
      <c r="O10" s="82"/>
      <c r="P10" s="98">
        <v>3</v>
      </c>
      <c r="Q10" s="82" t="s">
        <v>210</v>
      </c>
      <c r="R10" s="82"/>
      <c r="S10" s="82">
        <f t="shared" si="0"/>
        <v>22</v>
      </c>
      <c r="T10" s="82" t="str">
        <f t="shared" si="1"/>
        <v>lb_dd22</v>
      </c>
      <c r="U10" s="82">
        <f t="shared" si="2"/>
        <v>2021</v>
      </c>
      <c r="V10" s="82"/>
      <c r="W10" s="82"/>
      <c r="X10" s="82"/>
    </row>
    <row r="11" spans="1:24" x14ac:dyDescent="0.3">
      <c r="A11" s="277"/>
      <c r="B11" s="268"/>
      <c r="C11" s="216" t="s">
        <v>16</v>
      </c>
      <c r="D11" s="105" t="str">
        <f t="shared" si="3"/>
        <v>1QSF4 Положение</v>
      </c>
      <c r="E11" s="92" t="s">
        <v>207</v>
      </c>
      <c r="F11" s="279"/>
      <c r="G11" s="281"/>
      <c r="H11" s="283"/>
      <c r="I11" s="106">
        <v>4118</v>
      </c>
      <c r="J11" s="107" t="str">
        <f t="shared" si="4"/>
        <v>SPT18DC/P1A1_GGIO2.Ind4</v>
      </c>
      <c r="K11" s="103" t="str">
        <f t="shared" si="5"/>
        <v>18DC</v>
      </c>
      <c r="L11" s="104" t="s">
        <v>245</v>
      </c>
      <c r="M11" s="104" t="s">
        <v>42</v>
      </c>
      <c r="N11" s="82" t="s">
        <v>487</v>
      </c>
      <c r="O11" s="82"/>
      <c r="P11" s="98">
        <v>4</v>
      </c>
      <c r="Q11" s="82" t="s">
        <v>209</v>
      </c>
      <c r="R11" s="82"/>
      <c r="S11" s="82">
        <f t="shared" si="0"/>
        <v>23</v>
      </c>
      <c r="T11" s="82" t="str">
        <f t="shared" si="1"/>
        <v>lb_dd23</v>
      </c>
      <c r="U11" s="82">
        <f t="shared" si="2"/>
        <v>2022</v>
      </c>
      <c r="V11" s="82"/>
      <c r="W11" s="82"/>
      <c r="X11" s="82"/>
    </row>
    <row r="12" spans="1:24" x14ac:dyDescent="0.3">
      <c r="A12" s="277"/>
      <c r="B12" s="268"/>
      <c r="C12" s="216" t="s">
        <v>17</v>
      </c>
      <c r="D12" s="105" t="str">
        <f t="shared" si="3"/>
        <v>1QSF4 Состояние</v>
      </c>
      <c r="E12" s="92" t="s">
        <v>208</v>
      </c>
      <c r="F12" s="279"/>
      <c r="G12" s="281"/>
      <c r="H12" s="283"/>
      <c r="I12" s="106">
        <v>4119</v>
      </c>
      <c r="J12" s="107" t="str">
        <f t="shared" si="4"/>
        <v>SPT18DC/P1A1_GGIO2.Alm4</v>
      </c>
      <c r="K12" s="103" t="str">
        <f t="shared" si="5"/>
        <v>18DC</v>
      </c>
      <c r="L12" s="104" t="s">
        <v>245</v>
      </c>
      <c r="M12" s="108" t="s">
        <v>43</v>
      </c>
      <c r="N12" s="82" t="s">
        <v>487</v>
      </c>
      <c r="O12" s="82"/>
      <c r="P12" s="98">
        <v>4</v>
      </c>
      <c r="Q12" s="82" t="s">
        <v>210</v>
      </c>
      <c r="R12" s="82"/>
      <c r="S12" s="82">
        <f t="shared" si="0"/>
        <v>24</v>
      </c>
      <c r="T12" s="82" t="str">
        <f t="shared" si="1"/>
        <v>lb_dd24</v>
      </c>
      <c r="U12" s="82">
        <f t="shared" si="2"/>
        <v>2023</v>
      </c>
      <c r="V12" s="82"/>
      <c r="W12" s="82"/>
      <c r="X12" s="82"/>
    </row>
    <row r="13" spans="1:24" x14ac:dyDescent="0.3">
      <c r="A13" s="277"/>
      <c r="B13" s="268"/>
      <c r="C13" s="216" t="s">
        <v>18</v>
      </c>
      <c r="D13" s="105" t="str">
        <f t="shared" si="3"/>
        <v>1QSF5 Положение</v>
      </c>
      <c r="E13" s="92" t="s">
        <v>207</v>
      </c>
      <c r="F13" s="279"/>
      <c r="G13" s="281"/>
      <c r="H13" s="283"/>
      <c r="I13" s="106">
        <v>4120</v>
      </c>
      <c r="J13" s="107" t="str">
        <f t="shared" si="4"/>
        <v>SPT18DC/P1A1_GGIO2.Ind5</v>
      </c>
      <c r="K13" s="103" t="str">
        <f t="shared" si="5"/>
        <v>18DC</v>
      </c>
      <c r="L13" s="104" t="s">
        <v>245</v>
      </c>
      <c r="M13" s="104" t="s">
        <v>44</v>
      </c>
      <c r="N13" s="82" t="s">
        <v>487</v>
      </c>
      <c r="O13" s="82"/>
      <c r="P13" s="109" t="s">
        <v>15</v>
      </c>
      <c r="Q13" s="82" t="s">
        <v>209</v>
      </c>
      <c r="R13" s="82"/>
      <c r="S13" s="82">
        <f t="shared" si="0"/>
        <v>25</v>
      </c>
      <c r="T13" s="82" t="str">
        <f t="shared" si="1"/>
        <v>lb_dd25</v>
      </c>
      <c r="U13" s="82">
        <f t="shared" si="2"/>
        <v>2024</v>
      </c>
      <c r="V13" s="82"/>
      <c r="W13" s="82"/>
      <c r="X13" s="82"/>
    </row>
    <row r="14" spans="1:24" x14ac:dyDescent="0.3">
      <c r="A14" s="277"/>
      <c r="B14" s="268"/>
      <c r="C14" s="216" t="s">
        <v>19</v>
      </c>
      <c r="D14" s="105" t="str">
        <f t="shared" si="3"/>
        <v>1QSF5 Состояние</v>
      </c>
      <c r="E14" s="92" t="s">
        <v>208</v>
      </c>
      <c r="F14" s="279"/>
      <c r="G14" s="281"/>
      <c r="H14" s="283"/>
      <c r="I14" s="106">
        <v>4121</v>
      </c>
      <c r="J14" s="107" t="str">
        <f t="shared" si="4"/>
        <v>SPT18DC/P1A1_GGIO2.Alm5</v>
      </c>
      <c r="K14" s="103" t="str">
        <f t="shared" si="5"/>
        <v>18DC</v>
      </c>
      <c r="L14" s="104" t="s">
        <v>245</v>
      </c>
      <c r="M14" s="108" t="s">
        <v>45</v>
      </c>
      <c r="N14" s="82" t="s">
        <v>487</v>
      </c>
      <c r="O14" s="82"/>
      <c r="P14" s="109" t="s">
        <v>15</v>
      </c>
      <c r="Q14" s="82" t="s">
        <v>210</v>
      </c>
      <c r="R14" s="82"/>
      <c r="S14" s="82">
        <f t="shared" si="0"/>
        <v>26</v>
      </c>
      <c r="T14" s="82" t="str">
        <f t="shared" si="1"/>
        <v>lb_dd26</v>
      </c>
      <c r="U14" s="82">
        <f t="shared" si="2"/>
        <v>2025</v>
      </c>
      <c r="V14" s="82"/>
      <c r="W14" s="82"/>
      <c r="X14" s="82"/>
    </row>
    <row r="15" spans="1:24" x14ac:dyDescent="0.3">
      <c r="A15" s="277"/>
      <c r="B15" s="268"/>
      <c r="C15" s="216" t="s">
        <v>20</v>
      </c>
      <c r="D15" s="105" t="str">
        <f t="shared" si="3"/>
        <v>1QSF6 Положение</v>
      </c>
      <c r="E15" s="92" t="s">
        <v>207</v>
      </c>
      <c r="F15" s="279"/>
      <c r="G15" s="281"/>
      <c r="H15" s="283"/>
      <c r="I15" s="106">
        <v>4122</v>
      </c>
      <c r="J15" s="107" t="str">
        <f t="shared" si="4"/>
        <v>SPT18DC/P1A1_GGIO2.Ind6</v>
      </c>
      <c r="K15" s="103" t="str">
        <f t="shared" si="5"/>
        <v>18DC</v>
      </c>
      <c r="L15" s="104" t="s">
        <v>245</v>
      </c>
      <c r="M15" s="104" t="s">
        <v>46</v>
      </c>
      <c r="N15" s="82" t="s">
        <v>487</v>
      </c>
      <c r="O15" s="82"/>
      <c r="P15" s="109" t="s">
        <v>16</v>
      </c>
      <c r="Q15" s="82" t="s">
        <v>209</v>
      </c>
      <c r="R15" s="82"/>
      <c r="S15" s="82">
        <f t="shared" si="0"/>
        <v>27</v>
      </c>
      <c r="T15" s="82" t="str">
        <f t="shared" si="1"/>
        <v>lb_dd27</v>
      </c>
      <c r="U15" s="82">
        <f t="shared" si="2"/>
        <v>2026</v>
      </c>
      <c r="V15" s="82"/>
      <c r="W15" s="82"/>
      <c r="X15" s="82"/>
    </row>
    <row r="16" spans="1:24" x14ac:dyDescent="0.3">
      <c r="A16" s="277"/>
      <c r="B16" s="268"/>
      <c r="C16" s="216" t="s">
        <v>21</v>
      </c>
      <c r="D16" s="105" t="str">
        <f t="shared" si="3"/>
        <v>1QSF6 Состояние</v>
      </c>
      <c r="E16" s="92" t="s">
        <v>208</v>
      </c>
      <c r="F16" s="279"/>
      <c r="G16" s="281"/>
      <c r="H16" s="283"/>
      <c r="I16" s="106">
        <v>4123</v>
      </c>
      <c r="J16" s="107" t="str">
        <f t="shared" si="4"/>
        <v>SPT18DC/P1A1_GGIO2.Alm6</v>
      </c>
      <c r="K16" s="103" t="str">
        <f t="shared" si="5"/>
        <v>18DC</v>
      </c>
      <c r="L16" s="104" t="s">
        <v>245</v>
      </c>
      <c r="M16" s="108" t="s">
        <v>47</v>
      </c>
      <c r="N16" s="82" t="s">
        <v>487</v>
      </c>
      <c r="O16" s="82"/>
      <c r="P16" s="109" t="s">
        <v>16</v>
      </c>
      <c r="Q16" s="82" t="s">
        <v>210</v>
      </c>
      <c r="R16" s="82"/>
      <c r="S16" s="82">
        <f t="shared" si="0"/>
        <v>28</v>
      </c>
      <c r="T16" s="82" t="str">
        <f t="shared" si="1"/>
        <v>lb_dd28</v>
      </c>
      <c r="U16" s="82">
        <f t="shared" si="2"/>
        <v>2027</v>
      </c>
      <c r="V16" s="82"/>
      <c r="W16" s="82"/>
      <c r="X16" s="82"/>
    </row>
    <row r="17" spans="1:24" x14ac:dyDescent="0.3">
      <c r="A17" s="277"/>
      <c r="B17" s="268"/>
      <c r="C17" s="216" t="s">
        <v>22</v>
      </c>
      <c r="D17" s="105" t="str">
        <f t="shared" si="3"/>
        <v>1QSF7 Положение</v>
      </c>
      <c r="E17" s="92" t="s">
        <v>207</v>
      </c>
      <c r="F17" s="279"/>
      <c r="G17" s="281"/>
      <c r="H17" s="283"/>
      <c r="I17" s="106">
        <v>4124</v>
      </c>
      <c r="J17" s="107" t="str">
        <f t="shared" si="4"/>
        <v>SPT18DC/P1A1_GGIO2.Ind7</v>
      </c>
      <c r="K17" s="103" t="str">
        <f t="shared" si="5"/>
        <v>18DC</v>
      </c>
      <c r="L17" s="104" t="s">
        <v>245</v>
      </c>
      <c r="M17" s="104" t="s">
        <v>48</v>
      </c>
      <c r="N17" s="82" t="s">
        <v>487</v>
      </c>
      <c r="O17" s="82"/>
      <c r="P17" s="109" t="s">
        <v>17</v>
      </c>
      <c r="Q17" s="82" t="s">
        <v>209</v>
      </c>
      <c r="R17" s="82"/>
      <c r="S17" s="82">
        <f t="shared" si="0"/>
        <v>29</v>
      </c>
      <c r="T17" s="82" t="str">
        <f t="shared" si="1"/>
        <v>lb_dd29</v>
      </c>
      <c r="U17" s="82">
        <f t="shared" si="2"/>
        <v>2028</v>
      </c>
      <c r="V17" s="82"/>
      <c r="W17" s="82"/>
      <c r="X17" s="82"/>
    </row>
    <row r="18" spans="1:24" x14ac:dyDescent="0.3">
      <c r="A18" s="277"/>
      <c r="B18" s="268"/>
      <c r="C18" s="216" t="s">
        <v>23</v>
      </c>
      <c r="D18" s="105" t="str">
        <f t="shared" si="3"/>
        <v>1QSF7 Состояние</v>
      </c>
      <c r="E18" s="92" t="s">
        <v>208</v>
      </c>
      <c r="F18" s="279"/>
      <c r="G18" s="281"/>
      <c r="H18" s="283"/>
      <c r="I18" s="106">
        <v>4125</v>
      </c>
      <c r="J18" s="107" t="str">
        <f t="shared" si="4"/>
        <v>SPT18DC/P1A1_GGIO2.Alm7</v>
      </c>
      <c r="K18" s="103" t="str">
        <f t="shared" si="5"/>
        <v>18DC</v>
      </c>
      <c r="L18" s="104" t="s">
        <v>245</v>
      </c>
      <c r="M18" s="108" t="s">
        <v>49</v>
      </c>
      <c r="N18" s="82" t="s">
        <v>487</v>
      </c>
      <c r="O18" s="82"/>
      <c r="P18" s="109" t="s">
        <v>17</v>
      </c>
      <c r="Q18" s="82" t="s">
        <v>210</v>
      </c>
      <c r="R18" s="82"/>
      <c r="S18" s="82">
        <f t="shared" si="0"/>
        <v>30</v>
      </c>
      <c r="T18" s="82" t="str">
        <f t="shared" si="1"/>
        <v>lb_dd30</v>
      </c>
      <c r="U18" s="82">
        <f t="shared" si="2"/>
        <v>2029</v>
      </c>
      <c r="V18" s="82"/>
      <c r="W18" s="82"/>
      <c r="X18" s="82"/>
    </row>
    <row r="19" spans="1:24" x14ac:dyDescent="0.3">
      <c r="A19" s="277"/>
      <c r="B19" s="268"/>
      <c r="C19" s="216" t="s">
        <v>24</v>
      </c>
      <c r="D19" s="105" t="str">
        <f t="shared" si="3"/>
        <v>1QSF8 Положение</v>
      </c>
      <c r="E19" s="92" t="s">
        <v>207</v>
      </c>
      <c r="F19" s="279"/>
      <c r="G19" s="281"/>
      <c r="H19" s="283"/>
      <c r="I19" s="106">
        <v>4126</v>
      </c>
      <c r="J19" s="107" t="str">
        <f t="shared" si="4"/>
        <v>SPT18DC/P1A1_GGIO2.Ind8</v>
      </c>
      <c r="K19" s="103" t="str">
        <f t="shared" si="5"/>
        <v>18DC</v>
      </c>
      <c r="L19" s="104" t="s">
        <v>245</v>
      </c>
      <c r="M19" s="104" t="s">
        <v>55</v>
      </c>
      <c r="N19" s="82" t="s">
        <v>487</v>
      </c>
      <c r="O19" s="82"/>
      <c r="P19" s="109" t="s">
        <v>18</v>
      </c>
      <c r="Q19" s="82" t="s">
        <v>209</v>
      </c>
      <c r="R19" s="82"/>
      <c r="S19" s="82">
        <f t="shared" si="0"/>
        <v>31</v>
      </c>
      <c r="T19" s="82" t="str">
        <f t="shared" si="1"/>
        <v>lb_dd31</v>
      </c>
      <c r="U19" s="82">
        <f t="shared" si="2"/>
        <v>2030</v>
      </c>
      <c r="V19" s="82"/>
      <c r="W19" s="82"/>
      <c r="X19" s="82"/>
    </row>
    <row r="20" spans="1:24" x14ac:dyDescent="0.3">
      <c r="A20" s="277"/>
      <c r="B20" s="268"/>
      <c r="C20" s="216" t="s">
        <v>25</v>
      </c>
      <c r="D20" s="105" t="str">
        <f t="shared" si="3"/>
        <v>1QSF8 Состояние</v>
      </c>
      <c r="E20" s="92" t="s">
        <v>208</v>
      </c>
      <c r="F20" s="280"/>
      <c r="G20" s="281"/>
      <c r="H20" s="284"/>
      <c r="I20" s="106">
        <v>4127</v>
      </c>
      <c r="J20" s="107" t="str">
        <f t="shared" si="4"/>
        <v>SPT18DC/P1A1_GGIO2.Alm8</v>
      </c>
      <c r="K20" s="103" t="str">
        <f t="shared" si="5"/>
        <v>18DC</v>
      </c>
      <c r="L20" s="104" t="s">
        <v>245</v>
      </c>
      <c r="M20" s="108" t="s">
        <v>56</v>
      </c>
      <c r="N20" s="82" t="s">
        <v>487</v>
      </c>
      <c r="O20" s="82"/>
      <c r="P20" s="109" t="s">
        <v>18</v>
      </c>
      <c r="Q20" s="82" t="s">
        <v>210</v>
      </c>
      <c r="R20" s="82"/>
      <c r="S20" s="82">
        <f t="shared" si="0"/>
        <v>32</v>
      </c>
      <c r="T20" s="82" t="str">
        <f t="shared" si="1"/>
        <v>lb_dd32</v>
      </c>
      <c r="U20" s="82">
        <f t="shared" si="2"/>
        <v>2031</v>
      </c>
      <c r="V20" s="82"/>
      <c r="W20" s="82"/>
      <c r="X20" s="82"/>
    </row>
    <row r="21" spans="1:24" x14ac:dyDescent="0.3">
      <c r="A21" s="252"/>
      <c r="B21" s="253"/>
      <c r="C21" s="253"/>
      <c r="D21" s="253"/>
      <c r="E21" s="253"/>
      <c r="F21" s="253"/>
      <c r="G21" s="253"/>
      <c r="H21" s="253"/>
      <c r="I21" s="253"/>
      <c r="J21" s="254"/>
      <c r="K21" s="103"/>
      <c r="L21" s="104"/>
      <c r="M21" s="82"/>
      <c r="N21" s="82"/>
      <c r="O21" s="82"/>
      <c r="P21" s="98"/>
      <c r="Q21" s="82"/>
      <c r="R21" s="82"/>
      <c r="S21" s="82"/>
      <c r="T21" s="82"/>
      <c r="U21" s="82"/>
      <c r="V21" s="82"/>
      <c r="W21" s="82"/>
      <c r="X21" s="82"/>
    </row>
    <row r="22" spans="1:24" x14ac:dyDescent="0.3">
      <c r="A22" s="273" t="s">
        <v>671</v>
      </c>
      <c r="B22" s="273"/>
      <c r="C22" s="273"/>
      <c r="D22" s="273"/>
      <c r="E22" s="273"/>
      <c r="F22" s="273"/>
      <c r="G22" s="273"/>
      <c r="H22" s="273"/>
      <c r="I22" s="273"/>
      <c r="J22" s="273"/>
      <c r="K22" s="103"/>
      <c r="L22" s="104"/>
      <c r="M22" s="82"/>
      <c r="N22" s="82"/>
      <c r="O22" s="82"/>
      <c r="P22" s="98"/>
      <c r="Q22" s="82"/>
      <c r="R22" s="82"/>
      <c r="S22" s="82"/>
      <c r="T22" s="82"/>
      <c r="U22" s="82"/>
      <c r="V22" s="82"/>
      <c r="W22" s="82"/>
      <c r="X22" s="82"/>
    </row>
    <row r="23" spans="1:24" x14ac:dyDescent="0.3">
      <c r="A23" s="277">
        <v>12</v>
      </c>
      <c r="B23" s="268" t="s">
        <v>7</v>
      </c>
      <c r="C23" s="216" t="s">
        <v>12</v>
      </c>
      <c r="D23" s="105" t="str">
        <f>CONCATENATE("1QSF",P23," ",Q23)</f>
        <v>1QSF9 Положение</v>
      </c>
      <c r="E23" s="92" t="s">
        <v>207</v>
      </c>
      <c r="F23" s="278" t="s">
        <v>28</v>
      </c>
      <c r="G23" s="281" t="s">
        <v>353</v>
      </c>
      <c r="H23" s="282" t="s">
        <v>59</v>
      </c>
      <c r="I23" s="106">
        <v>4112</v>
      </c>
      <c r="J23" s="107" t="str">
        <f>IF(OR(D23="",D23="-"),"",CONCATENATE("SPT",K23,"/",N23,L23,".",M23))</f>
        <v>SPT18DC/P1A4_GGIO2.Ind1</v>
      </c>
      <c r="K23" s="177" t="s">
        <v>791</v>
      </c>
      <c r="L23" s="178" t="s">
        <v>245</v>
      </c>
      <c r="M23" s="104" t="s">
        <v>36</v>
      </c>
      <c r="N23" s="179" t="s">
        <v>631</v>
      </c>
      <c r="O23" s="82"/>
      <c r="P23" s="98">
        <v>9</v>
      </c>
      <c r="Q23" s="82" t="s">
        <v>209</v>
      </c>
      <c r="R23" s="82"/>
      <c r="S23" s="82">
        <f t="shared" ref="S23:S38" si="6">I23-4095</f>
        <v>17</v>
      </c>
      <c r="T23" s="82" t="str">
        <f t="shared" ref="T23:T38" si="7">_xlfn.CONCAT($T$1,S23)</f>
        <v>lb_dd17</v>
      </c>
      <c r="U23" s="82">
        <f t="shared" ref="U23:U38" si="8">S23+1999</f>
        <v>2016</v>
      </c>
      <c r="V23" s="82">
        <v>809</v>
      </c>
      <c r="W23" s="82">
        <v>1058</v>
      </c>
      <c r="X23" s="82"/>
    </row>
    <row r="24" spans="1:24" x14ac:dyDescent="0.3">
      <c r="A24" s="277"/>
      <c r="B24" s="268"/>
      <c r="C24" s="216" t="s">
        <v>8</v>
      </c>
      <c r="D24" s="105" t="str">
        <f t="shared" ref="D24:D38" si="9">CONCATENATE("1QSF",P24," ",Q24)</f>
        <v>1QSF9 Состояние</v>
      </c>
      <c r="E24" s="92" t="s">
        <v>208</v>
      </c>
      <c r="F24" s="279"/>
      <c r="G24" s="281"/>
      <c r="H24" s="283"/>
      <c r="I24" s="106">
        <v>4113</v>
      </c>
      <c r="J24" s="107" t="str">
        <f t="shared" ref="J24:J38" si="10">IF(OR(D24="",D24="-"),"",CONCATENATE("SPT",K24,"/",N24,L24,".",M24))</f>
        <v>SPT18DC/P1A4_GGIO2.Alm1</v>
      </c>
      <c r="K24" s="103" t="str">
        <f>K23</f>
        <v>18DC</v>
      </c>
      <c r="L24" s="104" t="s">
        <v>245</v>
      </c>
      <c r="M24" s="108" t="s">
        <v>37</v>
      </c>
      <c r="N24" s="82" t="s">
        <v>631</v>
      </c>
      <c r="O24" s="82"/>
      <c r="P24" s="98">
        <v>9</v>
      </c>
      <c r="Q24" s="82" t="s">
        <v>210</v>
      </c>
      <c r="R24" s="82"/>
      <c r="S24" s="82">
        <f t="shared" si="6"/>
        <v>18</v>
      </c>
      <c r="T24" s="82" t="str">
        <f t="shared" si="7"/>
        <v>lb_dd18</v>
      </c>
      <c r="U24" s="82">
        <f t="shared" si="8"/>
        <v>2017</v>
      </c>
      <c r="V24" s="82"/>
      <c r="W24" s="82"/>
      <c r="X24" s="82"/>
    </row>
    <row r="25" spans="1:24" x14ac:dyDescent="0.3">
      <c r="A25" s="277"/>
      <c r="B25" s="268"/>
      <c r="C25" s="216" t="s">
        <v>9</v>
      </c>
      <c r="D25" s="105" t="str">
        <f t="shared" si="9"/>
        <v>1QSF10 Положение</v>
      </c>
      <c r="E25" s="92" t="s">
        <v>207</v>
      </c>
      <c r="F25" s="279"/>
      <c r="G25" s="281"/>
      <c r="H25" s="283"/>
      <c r="I25" s="106">
        <v>4114</v>
      </c>
      <c r="J25" s="107" t="str">
        <f t="shared" si="10"/>
        <v>SPT18DC/P1A4_GGIO2.Ind2</v>
      </c>
      <c r="K25" s="103" t="str">
        <f t="shared" ref="K25:K38" si="11">K24</f>
        <v>18DC</v>
      </c>
      <c r="L25" s="104" t="s">
        <v>245</v>
      </c>
      <c r="M25" s="104" t="s">
        <v>38</v>
      </c>
      <c r="N25" s="82" t="s">
        <v>631</v>
      </c>
      <c r="O25" s="82"/>
      <c r="P25" s="98">
        <v>10</v>
      </c>
      <c r="Q25" s="82" t="s">
        <v>209</v>
      </c>
      <c r="R25" s="82"/>
      <c r="S25" s="82">
        <f t="shared" si="6"/>
        <v>19</v>
      </c>
      <c r="T25" s="82" t="str">
        <f t="shared" si="7"/>
        <v>lb_dd19</v>
      </c>
      <c r="U25" s="82">
        <f t="shared" si="8"/>
        <v>2018</v>
      </c>
      <c r="V25" s="82"/>
      <c r="W25" s="82"/>
      <c r="X25" s="82"/>
    </row>
    <row r="26" spans="1:24" x14ac:dyDescent="0.3">
      <c r="A26" s="277"/>
      <c r="B26" s="268"/>
      <c r="C26" s="216" t="s">
        <v>13</v>
      </c>
      <c r="D26" s="105" t="str">
        <f t="shared" si="9"/>
        <v>1QSF10 Состояние</v>
      </c>
      <c r="E26" s="92" t="s">
        <v>208</v>
      </c>
      <c r="F26" s="279"/>
      <c r="G26" s="281"/>
      <c r="H26" s="283"/>
      <c r="I26" s="106">
        <v>4115</v>
      </c>
      <c r="J26" s="107" t="str">
        <f t="shared" si="10"/>
        <v>SPT18DC/P1A4_GGIO2.Alm2</v>
      </c>
      <c r="K26" s="103" t="str">
        <f t="shared" si="11"/>
        <v>18DC</v>
      </c>
      <c r="L26" s="104" t="s">
        <v>245</v>
      </c>
      <c r="M26" s="108" t="s">
        <v>39</v>
      </c>
      <c r="N26" s="82" t="s">
        <v>631</v>
      </c>
      <c r="O26" s="82"/>
      <c r="P26" s="98">
        <v>10</v>
      </c>
      <c r="Q26" s="82" t="s">
        <v>210</v>
      </c>
      <c r="R26" s="82"/>
      <c r="S26" s="82">
        <f t="shared" si="6"/>
        <v>20</v>
      </c>
      <c r="T26" s="82" t="str">
        <f t="shared" si="7"/>
        <v>lb_dd20</v>
      </c>
      <c r="U26" s="82">
        <f t="shared" si="8"/>
        <v>2019</v>
      </c>
      <c r="V26" s="82"/>
      <c r="W26" s="82"/>
      <c r="X26" s="82"/>
    </row>
    <row r="27" spans="1:24" x14ac:dyDescent="0.3">
      <c r="A27" s="277"/>
      <c r="B27" s="268"/>
      <c r="C27" s="216" t="s">
        <v>14</v>
      </c>
      <c r="D27" s="105" t="str">
        <f t="shared" si="9"/>
        <v>1QSF11 Положение</v>
      </c>
      <c r="E27" s="92" t="s">
        <v>207</v>
      </c>
      <c r="F27" s="279"/>
      <c r="G27" s="281"/>
      <c r="H27" s="283"/>
      <c r="I27" s="106">
        <v>4116</v>
      </c>
      <c r="J27" s="107" t="str">
        <f t="shared" si="10"/>
        <v>SPT18DC/P1A4_GGIO2.Ind3</v>
      </c>
      <c r="K27" s="103" t="str">
        <f t="shared" si="11"/>
        <v>18DC</v>
      </c>
      <c r="L27" s="104" t="s">
        <v>245</v>
      </c>
      <c r="M27" s="104" t="s">
        <v>40</v>
      </c>
      <c r="N27" s="82" t="s">
        <v>631</v>
      </c>
      <c r="O27" s="82"/>
      <c r="P27" s="98">
        <v>11</v>
      </c>
      <c r="Q27" s="82" t="s">
        <v>209</v>
      </c>
      <c r="R27" s="82"/>
      <c r="S27" s="82">
        <f t="shared" si="6"/>
        <v>21</v>
      </c>
      <c r="T27" s="82" t="str">
        <f t="shared" si="7"/>
        <v>lb_dd21</v>
      </c>
      <c r="U27" s="82">
        <f t="shared" si="8"/>
        <v>2020</v>
      </c>
      <c r="V27" s="82"/>
      <c r="W27" s="82"/>
      <c r="X27" s="82"/>
    </row>
    <row r="28" spans="1:24" x14ac:dyDescent="0.3">
      <c r="A28" s="277"/>
      <c r="B28" s="268"/>
      <c r="C28" s="216" t="s">
        <v>15</v>
      </c>
      <c r="D28" s="105" t="str">
        <f t="shared" si="9"/>
        <v>1QSF11 Состояние</v>
      </c>
      <c r="E28" s="92" t="s">
        <v>208</v>
      </c>
      <c r="F28" s="279"/>
      <c r="G28" s="281"/>
      <c r="H28" s="283"/>
      <c r="I28" s="106">
        <v>4117</v>
      </c>
      <c r="J28" s="107" t="str">
        <f t="shared" si="10"/>
        <v>SPT18DC/P1A4_GGIO2.Alm3</v>
      </c>
      <c r="K28" s="103" t="str">
        <f t="shared" si="11"/>
        <v>18DC</v>
      </c>
      <c r="L28" s="104" t="s">
        <v>245</v>
      </c>
      <c r="M28" s="108" t="s">
        <v>41</v>
      </c>
      <c r="N28" s="82" t="s">
        <v>631</v>
      </c>
      <c r="O28" s="82"/>
      <c r="P28" s="98">
        <v>11</v>
      </c>
      <c r="Q28" s="82" t="s">
        <v>210</v>
      </c>
      <c r="R28" s="82"/>
      <c r="S28" s="82">
        <f t="shared" si="6"/>
        <v>22</v>
      </c>
      <c r="T28" s="82" t="str">
        <f t="shared" si="7"/>
        <v>lb_dd22</v>
      </c>
      <c r="U28" s="82">
        <f t="shared" si="8"/>
        <v>2021</v>
      </c>
      <c r="V28" s="82"/>
      <c r="W28" s="82"/>
      <c r="X28" s="82"/>
    </row>
    <row r="29" spans="1:24" x14ac:dyDescent="0.3">
      <c r="A29" s="277"/>
      <c r="B29" s="268"/>
      <c r="C29" s="216" t="s">
        <v>16</v>
      </c>
      <c r="D29" s="105" t="str">
        <f t="shared" si="9"/>
        <v>1QSF12 Положение</v>
      </c>
      <c r="E29" s="92" t="s">
        <v>207</v>
      </c>
      <c r="F29" s="279"/>
      <c r="G29" s="281"/>
      <c r="H29" s="283"/>
      <c r="I29" s="106">
        <v>4118</v>
      </c>
      <c r="J29" s="107" t="str">
        <f t="shared" si="10"/>
        <v>SPT18DC/P1A4_GGIO2.Ind4</v>
      </c>
      <c r="K29" s="103" t="str">
        <f t="shared" si="11"/>
        <v>18DC</v>
      </c>
      <c r="L29" s="104" t="s">
        <v>245</v>
      </c>
      <c r="M29" s="104" t="s">
        <v>42</v>
      </c>
      <c r="N29" s="82" t="s">
        <v>631</v>
      </c>
      <c r="O29" s="82"/>
      <c r="P29" s="98">
        <v>12</v>
      </c>
      <c r="Q29" s="82" t="s">
        <v>209</v>
      </c>
      <c r="R29" s="82"/>
      <c r="S29" s="82">
        <f t="shared" si="6"/>
        <v>23</v>
      </c>
      <c r="T29" s="82" t="str">
        <f t="shared" si="7"/>
        <v>lb_dd23</v>
      </c>
      <c r="U29" s="82">
        <f t="shared" si="8"/>
        <v>2022</v>
      </c>
      <c r="V29" s="82"/>
      <c r="W29" s="82"/>
      <c r="X29" s="82"/>
    </row>
    <row r="30" spans="1:24" x14ac:dyDescent="0.3">
      <c r="A30" s="277"/>
      <c r="B30" s="268"/>
      <c r="C30" s="216" t="s">
        <v>17</v>
      </c>
      <c r="D30" s="105" t="str">
        <f t="shared" si="9"/>
        <v>1QSF12 Состояние</v>
      </c>
      <c r="E30" s="92" t="s">
        <v>208</v>
      </c>
      <c r="F30" s="279"/>
      <c r="G30" s="281"/>
      <c r="H30" s="283"/>
      <c r="I30" s="106">
        <v>4119</v>
      </c>
      <c r="J30" s="107" t="str">
        <f t="shared" si="10"/>
        <v>SPT18DC/P1A4_GGIO2.Alm4</v>
      </c>
      <c r="K30" s="103" t="str">
        <f t="shared" si="11"/>
        <v>18DC</v>
      </c>
      <c r="L30" s="104" t="s">
        <v>245</v>
      </c>
      <c r="M30" s="108" t="s">
        <v>43</v>
      </c>
      <c r="N30" s="82" t="s">
        <v>631</v>
      </c>
      <c r="O30" s="82"/>
      <c r="P30" s="98">
        <v>12</v>
      </c>
      <c r="Q30" s="82" t="s">
        <v>210</v>
      </c>
      <c r="R30" s="82"/>
      <c r="S30" s="82">
        <f t="shared" si="6"/>
        <v>24</v>
      </c>
      <c r="T30" s="82" t="str">
        <f t="shared" si="7"/>
        <v>lb_dd24</v>
      </c>
      <c r="U30" s="82">
        <f t="shared" si="8"/>
        <v>2023</v>
      </c>
      <c r="V30" s="82"/>
      <c r="W30" s="82"/>
      <c r="X30" s="82"/>
    </row>
    <row r="31" spans="1:24" x14ac:dyDescent="0.3">
      <c r="A31" s="277"/>
      <c r="B31" s="268"/>
      <c r="C31" s="216" t="s">
        <v>18</v>
      </c>
      <c r="D31" s="105" t="str">
        <f t="shared" si="9"/>
        <v>1QSF13 Положение</v>
      </c>
      <c r="E31" s="92" t="s">
        <v>207</v>
      </c>
      <c r="F31" s="279"/>
      <c r="G31" s="281"/>
      <c r="H31" s="283"/>
      <c r="I31" s="106">
        <v>4120</v>
      </c>
      <c r="J31" s="107" t="str">
        <f t="shared" si="10"/>
        <v>SPT18DC/P1A4_GGIO2.Ind5</v>
      </c>
      <c r="K31" s="103" t="str">
        <f t="shared" si="11"/>
        <v>18DC</v>
      </c>
      <c r="L31" s="104" t="s">
        <v>245</v>
      </c>
      <c r="M31" s="104" t="s">
        <v>44</v>
      </c>
      <c r="N31" s="82" t="s">
        <v>631</v>
      </c>
      <c r="O31" s="82"/>
      <c r="P31" s="109" t="s">
        <v>23</v>
      </c>
      <c r="Q31" s="82" t="s">
        <v>209</v>
      </c>
      <c r="R31" s="82"/>
      <c r="S31" s="82">
        <f t="shared" si="6"/>
        <v>25</v>
      </c>
      <c r="T31" s="82" t="str">
        <f t="shared" si="7"/>
        <v>lb_dd25</v>
      </c>
      <c r="U31" s="82">
        <f t="shared" si="8"/>
        <v>2024</v>
      </c>
      <c r="V31" s="82"/>
      <c r="W31" s="82"/>
      <c r="X31" s="82"/>
    </row>
    <row r="32" spans="1:24" x14ac:dyDescent="0.3">
      <c r="A32" s="277"/>
      <c r="B32" s="268"/>
      <c r="C32" s="216" t="s">
        <v>19</v>
      </c>
      <c r="D32" s="105" t="str">
        <f t="shared" si="9"/>
        <v>1QSF13 Состояние</v>
      </c>
      <c r="E32" s="92" t="s">
        <v>208</v>
      </c>
      <c r="F32" s="279"/>
      <c r="G32" s="281"/>
      <c r="H32" s="283"/>
      <c r="I32" s="106">
        <v>4121</v>
      </c>
      <c r="J32" s="107" t="str">
        <f t="shared" si="10"/>
        <v>SPT18DC/P1A4_GGIO2.Alm5</v>
      </c>
      <c r="K32" s="103" t="str">
        <f t="shared" si="11"/>
        <v>18DC</v>
      </c>
      <c r="L32" s="104" t="s">
        <v>245</v>
      </c>
      <c r="M32" s="108" t="s">
        <v>45</v>
      </c>
      <c r="N32" s="82" t="s">
        <v>631</v>
      </c>
      <c r="O32" s="82"/>
      <c r="P32" s="109" t="s">
        <v>23</v>
      </c>
      <c r="Q32" s="82" t="s">
        <v>210</v>
      </c>
      <c r="R32" s="82"/>
      <c r="S32" s="82">
        <f t="shared" si="6"/>
        <v>26</v>
      </c>
      <c r="T32" s="82" t="str">
        <f t="shared" si="7"/>
        <v>lb_dd26</v>
      </c>
      <c r="U32" s="82">
        <f t="shared" si="8"/>
        <v>2025</v>
      </c>
      <c r="V32" s="82"/>
      <c r="W32" s="82"/>
      <c r="X32" s="82"/>
    </row>
    <row r="33" spans="1:24" x14ac:dyDescent="0.3">
      <c r="A33" s="277"/>
      <c r="B33" s="268"/>
      <c r="C33" s="216" t="s">
        <v>20</v>
      </c>
      <c r="D33" s="105" t="str">
        <f t="shared" si="9"/>
        <v>1QSF14 Положение</v>
      </c>
      <c r="E33" s="92" t="s">
        <v>207</v>
      </c>
      <c r="F33" s="279"/>
      <c r="G33" s="281"/>
      <c r="H33" s="283"/>
      <c r="I33" s="106">
        <v>4122</v>
      </c>
      <c r="J33" s="107" t="str">
        <f t="shared" si="10"/>
        <v>SPT18DC/P1A4_GGIO2.Ind6</v>
      </c>
      <c r="K33" s="103" t="str">
        <f t="shared" si="11"/>
        <v>18DC</v>
      </c>
      <c r="L33" s="104" t="s">
        <v>245</v>
      </c>
      <c r="M33" s="104" t="s">
        <v>46</v>
      </c>
      <c r="N33" s="82" t="s">
        <v>631</v>
      </c>
      <c r="O33" s="82"/>
      <c r="P33" s="109" t="s">
        <v>24</v>
      </c>
      <c r="Q33" s="82" t="s">
        <v>209</v>
      </c>
      <c r="R33" s="82"/>
      <c r="S33" s="82">
        <f t="shared" si="6"/>
        <v>27</v>
      </c>
      <c r="T33" s="82" t="str">
        <f t="shared" si="7"/>
        <v>lb_dd27</v>
      </c>
      <c r="U33" s="82">
        <f t="shared" si="8"/>
        <v>2026</v>
      </c>
      <c r="V33" s="82"/>
      <c r="W33" s="82"/>
      <c r="X33" s="82"/>
    </row>
    <row r="34" spans="1:24" x14ac:dyDescent="0.3">
      <c r="A34" s="277"/>
      <c r="B34" s="268"/>
      <c r="C34" s="216" t="s">
        <v>21</v>
      </c>
      <c r="D34" s="105" t="str">
        <f t="shared" si="9"/>
        <v>1QSF14 Состояние</v>
      </c>
      <c r="E34" s="92" t="s">
        <v>208</v>
      </c>
      <c r="F34" s="279"/>
      <c r="G34" s="281"/>
      <c r="H34" s="283"/>
      <c r="I34" s="106">
        <v>4123</v>
      </c>
      <c r="J34" s="107" t="str">
        <f t="shared" si="10"/>
        <v>SPT18DC/P1A4_GGIO2.Alm6</v>
      </c>
      <c r="K34" s="103" t="str">
        <f t="shared" si="11"/>
        <v>18DC</v>
      </c>
      <c r="L34" s="104" t="s">
        <v>245</v>
      </c>
      <c r="M34" s="108" t="s">
        <v>47</v>
      </c>
      <c r="N34" s="82" t="s">
        <v>631</v>
      </c>
      <c r="O34" s="82"/>
      <c r="P34" s="109" t="s">
        <v>24</v>
      </c>
      <c r="Q34" s="82" t="s">
        <v>210</v>
      </c>
      <c r="R34" s="82"/>
      <c r="S34" s="82">
        <f t="shared" si="6"/>
        <v>28</v>
      </c>
      <c r="T34" s="82" t="str">
        <f t="shared" si="7"/>
        <v>lb_dd28</v>
      </c>
      <c r="U34" s="82">
        <f t="shared" si="8"/>
        <v>2027</v>
      </c>
      <c r="V34" s="82"/>
      <c r="W34" s="82"/>
      <c r="X34" s="82"/>
    </row>
    <row r="35" spans="1:24" x14ac:dyDescent="0.3">
      <c r="A35" s="277"/>
      <c r="B35" s="268"/>
      <c r="C35" s="216" t="s">
        <v>22</v>
      </c>
      <c r="D35" s="105" t="str">
        <f t="shared" si="9"/>
        <v>1QSF15 Положение</v>
      </c>
      <c r="E35" s="92" t="s">
        <v>207</v>
      </c>
      <c r="F35" s="279"/>
      <c r="G35" s="281"/>
      <c r="H35" s="283"/>
      <c r="I35" s="106">
        <v>4124</v>
      </c>
      <c r="J35" s="107" t="str">
        <f t="shared" si="10"/>
        <v>SPT18DC/P1A4_GGIO2.Ind7</v>
      </c>
      <c r="K35" s="103" t="str">
        <f t="shared" si="11"/>
        <v>18DC</v>
      </c>
      <c r="L35" s="104" t="s">
        <v>245</v>
      </c>
      <c r="M35" s="104" t="s">
        <v>48</v>
      </c>
      <c r="N35" s="82" t="s">
        <v>631</v>
      </c>
      <c r="O35" s="82"/>
      <c r="P35" s="109" t="s">
        <v>25</v>
      </c>
      <c r="Q35" s="82" t="s">
        <v>209</v>
      </c>
      <c r="R35" s="82"/>
      <c r="S35" s="82">
        <f t="shared" si="6"/>
        <v>29</v>
      </c>
      <c r="T35" s="82" t="str">
        <f t="shared" si="7"/>
        <v>lb_dd29</v>
      </c>
      <c r="U35" s="82">
        <f t="shared" si="8"/>
        <v>2028</v>
      </c>
      <c r="V35" s="82"/>
      <c r="W35" s="82"/>
      <c r="X35" s="82"/>
    </row>
    <row r="36" spans="1:24" x14ac:dyDescent="0.3">
      <c r="A36" s="277"/>
      <c r="B36" s="268"/>
      <c r="C36" s="216" t="s">
        <v>23</v>
      </c>
      <c r="D36" s="105" t="str">
        <f t="shared" si="9"/>
        <v>1QSF15 Состояние</v>
      </c>
      <c r="E36" s="92" t="s">
        <v>208</v>
      </c>
      <c r="F36" s="279"/>
      <c r="G36" s="281"/>
      <c r="H36" s="283"/>
      <c r="I36" s="106">
        <v>4125</v>
      </c>
      <c r="J36" s="107" t="str">
        <f t="shared" si="10"/>
        <v>SPT18DC/P1A4_GGIO2.Alm7</v>
      </c>
      <c r="K36" s="103" t="str">
        <f t="shared" si="11"/>
        <v>18DC</v>
      </c>
      <c r="L36" s="104" t="s">
        <v>245</v>
      </c>
      <c r="M36" s="108" t="s">
        <v>49</v>
      </c>
      <c r="N36" s="82" t="s">
        <v>631</v>
      </c>
      <c r="O36" s="82"/>
      <c r="P36" s="109" t="s">
        <v>25</v>
      </c>
      <c r="Q36" s="82" t="s">
        <v>210</v>
      </c>
      <c r="R36" s="82"/>
      <c r="S36" s="82">
        <f t="shared" si="6"/>
        <v>30</v>
      </c>
      <c r="T36" s="82" t="str">
        <f t="shared" si="7"/>
        <v>lb_dd30</v>
      </c>
      <c r="U36" s="82">
        <f t="shared" si="8"/>
        <v>2029</v>
      </c>
      <c r="V36" s="82"/>
      <c r="W36" s="82"/>
      <c r="X36" s="82"/>
    </row>
    <row r="37" spans="1:24" x14ac:dyDescent="0.3">
      <c r="A37" s="277"/>
      <c r="B37" s="268"/>
      <c r="C37" s="216" t="s">
        <v>24</v>
      </c>
      <c r="D37" s="105" t="str">
        <f t="shared" si="9"/>
        <v>1QSF16 Положение</v>
      </c>
      <c r="E37" s="92" t="s">
        <v>207</v>
      </c>
      <c r="F37" s="279"/>
      <c r="G37" s="281"/>
      <c r="H37" s="283"/>
      <c r="I37" s="106">
        <v>4126</v>
      </c>
      <c r="J37" s="107" t="str">
        <f t="shared" si="10"/>
        <v>SPT18DC/P1A4_GGIO2.Ind8</v>
      </c>
      <c r="K37" s="103" t="str">
        <f t="shared" si="11"/>
        <v>18DC</v>
      </c>
      <c r="L37" s="104" t="s">
        <v>245</v>
      </c>
      <c r="M37" s="104" t="s">
        <v>55</v>
      </c>
      <c r="N37" s="82" t="s">
        <v>631</v>
      </c>
      <c r="O37" s="82"/>
      <c r="P37" s="109" t="s">
        <v>665</v>
      </c>
      <c r="Q37" s="82" t="s">
        <v>209</v>
      </c>
      <c r="R37" s="82"/>
      <c r="S37" s="82">
        <f t="shared" si="6"/>
        <v>31</v>
      </c>
      <c r="T37" s="82" t="str">
        <f t="shared" si="7"/>
        <v>lb_dd31</v>
      </c>
      <c r="U37" s="82">
        <f t="shared" si="8"/>
        <v>2030</v>
      </c>
      <c r="V37" s="82"/>
      <c r="W37" s="82"/>
      <c r="X37" s="82"/>
    </row>
    <row r="38" spans="1:24" x14ac:dyDescent="0.3">
      <c r="A38" s="277"/>
      <c r="B38" s="268"/>
      <c r="C38" s="216" t="s">
        <v>25</v>
      </c>
      <c r="D38" s="105" t="str">
        <f t="shared" si="9"/>
        <v>1QSF16 Состояние</v>
      </c>
      <c r="E38" s="92" t="s">
        <v>208</v>
      </c>
      <c r="F38" s="280"/>
      <c r="G38" s="281"/>
      <c r="H38" s="284"/>
      <c r="I38" s="106">
        <v>4127</v>
      </c>
      <c r="J38" s="107" t="str">
        <f t="shared" si="10"/>
        <v>SPT18DC/P1A4_GGIO2.Alm8</v>
      </c>
      <c r="K38" s="103" t="str">
        <f t="shared" si="11"/>
        <v>18DC</v>
      </c>
      <c r="L38" s="104" t="s">
        <v>245</v>
      </c>
      <c r="M38" s="108" t="s">
        <v>56</v>
      </c>
      <c r="N38" s="82" t="s">
        <v>631</v>
      </c>
      <c r="O38" s="82"/>
      <c r="P38" s="109" t="s">
        <v>665</v>
      </c>
      <c r="Q38" s="82" t="s">
        <v>210</v>
      </c>
      <c r="R38" s="82"/>
      <c r="S38" s="82">
        <f t="shared" si="6"/>
        <v>32</v>
      </c>
      <c r="T38" s="82" t="str">
        <f t="shared" si="7"/>
        <v>lb_dd32</v>
      </c>
      <c r="U38" s="82">
        <f t="shared" si="8"/>
        <v>2031</v>
      </c>
      <c r="V38" s="82"/>
      <c r="W38" s="82"/>
      <c r="X38" s="82"/>
    </row>
    <row r="39" spans="1:24" x14ac:dyDescent="0.3">
      <c r="A39" s="252"/>
      <c r="B39" s="253"/>
      <c r="C39" s="253"/>
      <c r="D39" s="253"/>
      <c r="E39" s="253"/>
      <c r="F39" s="253"/>
      <c r="G39" s="253"/>
      <c r="H39" s="253"/>
      <c r="I39" s="253"/>
      <c r="J39" s="254"/>
      <c r="K39" s="103"/>
      <c r="L39" s="104"/>
      <c r="M39" s="163"/>
      <c r="N39" s="82"/>
      <c r="O39" s="82"/>
      <c r="P39" s="98"/>
      <c r="Q39" s="82"/>
      <c r="R39" s="82"/>
      <c r="S39" s="82"/>
      <c r="T39" s="82"/>
      <c r="U39" s="82"/>
      <c r="V39" s="82"/>
      <c r="W39" s="82"/>
      <c r="X39" s="82"/>
    </row>
    <row r="40" spans="1:24" x14ac:dyDescent="0.3">
      <c r="A40" s="273" t="s">
        <v>313</v>
      </c>
      <c r="B40" s="273"/>
      <c r="C40" s="273"/>
      <c r="D40" s="273"/>
      <c r="E40" s="273"/>
      <c r="F40" s="273"/>
      <c r="G40" s="273"/>
      <c r="H40" s="273"/>
      <c r="I40" s="273"/>
      <c r="J40" s="273"/>
      <c r="K40" s="103"/>
      <c r="L40" s="104"/>
      <c r="M40" s="82"/>
      <c r="N40" s="82"/>
      <c r="O40" s="82"/>
      <c r="P40" s="98"/>
      <c r="Q40" s="82"/>
      <c r="R40" s="82"/>
      <c r="S40" s="82"/>
      <c r="T40" s="82"/>
      <c r="U40" s="82"/>
      <c r="V40" s="82"/>
      <c r="W40" s="82"/>
      <c r="X40" s="82"/>
    </row>
    <row r="41" spans="1:24" x14ac:dyDescent="0.3">
      <c r="A41" s="277">
        <v>13</v>
      </c>
      <c r="B41" s="268" t="s">
        <v>7</v>
      </c>
      <c r="C41" s="216" t="s">
        <v>12</v>
      </c>
      <c r="D41" s="105" t="str">
        <f>CONCATENATE("1QSF",P41," ",Q41)</f>
        <v>1QSF17 Положение</v>
      </c>
      <c r="E41" s="92" t="s">
        <v>207</v>
      </c>
      <c r="F41" s="278" t="s">
        <v>28</v>
      </c>
      <c r="G41" s="281" t="s">
        <v>353</v>
      </c>
      <c r="H41" s="282" t="s">
        <v>59</v>
      </c>
      <c r="I41" s="106">
        <v>4112</v>
      </c>
      <c r="J41" s="107" t="str">
        <f>IF(OR(D41="",D41="-"),"",CONCATENATE("SPT",K41,"/",N41,L41,".",M41))</f>
        <v>SPT18DC/P1A4_GGIO2.Ind1</v>
      </c>
      <c r="K41" s="177" t="s">
        <v>791</v>
      </c>
      <c r="L41" s="178" t="s">
        <v>245</v>
      </c>
      <c r="M41" s="104" t="s">
        <v>36</v>
      </c>
      <c r="N41" s="179" t="s">
        <v>631</v>
      </c>
      <c r="O41" s="82"/>
      <c r="P41" s="98">
        <v>17</v>
      </c>
      <c r="Q41" s="82" t="s">
        <v>209</v>
      </c>
      <c r="R41" s="82"/>
      <c r="S41" s="82">
        <f t="shared" ref="S41:S56" si="12">I41-4095</f>
        <v>17</v>
      </c>
      <c r="T41" s="82" t="str">
        <f t="shared" ref="T41:T56" si="13">_xlfn.CONCAT($T$1,S41)</f>
        <v>lb_dd17</v>
      </c>
      <c r="U41" s="82">
        <f t="shared" ref="U41:U56" si="14">S41+1999</f>
        <v>2016</v>
      </c>
      <c r="V41" s="82">
        <v>809</v>
      </c>
      <c r="W41" s="82">
        <v>1058</v>
      </c>
      <c r="X41" s="82"/>
    </row>
    <row r="42" spans="1:24" x14ac:dyDescent="0.3">
      <c r="A42" s="277"/>
      <c r="B42" s="268"/>
      <c r="C42" s="216" t="s">
        <v>8</v>
      </c>
      <c r="D42" s="105" t="str">
        <f t="shared" ref="D42:D56" si="15">CONCATENATE("1QSF",P42," ",Q42)</f>
        <v>1QSF17 Состояние</v>
      </c>
      <c r="E42" s="92" t="s">
        <v>208</v>
      </c>
      <c r="F42" s="279"/>
      <c r="G42" s="281"/>
      <c r="H42" s="283"/>
      <c r="I42" s="106">
        <v>4113</v>
      </c>
      <c r="J42" s="107" t="str">
        <f t="shared" ref="J42:J56" si="16">IF(OR(D42="",D42="-"),"",CONCATENATE("SPT",K42,"/",N42,L42,".",M42))</f>
        <v>SPT18DC/P1A4_GGIO2.Alm1</v>
      </c>
      <c r="K42" s="103" t="str">
        <f>K41</f>
        <v>18DC</v>
      </c>
      <c r="L42" s="104" t="str">
        <f>L41</f>
        <v>GGIO2</v>
      </c>
      <c r="M42" s="108" t="s">
        <v>37</v>
      </c>
      <c r="N42" s="82" t="str">
        <f>N41</f>
        <v>P1A4_</v>
      </c>
      <c r="O42" s="82"/>
      <c r="P42" s="98">
        <v>17</v>
      </c>
      <c r="Q42" s="82" t="s">
        <v>210</v>
      </c>
      <c r="R42" s="82"/>
      <c r="S42" s="82">
        <f t="shared" si="12"/>
        <v>18</v>
      </c>
      <c r="T42" s="82" t="str">
        <f t="shared" si="13"/>
        <v>lb_dd18</v>
      </c>
      <c r="U42" s="82">
        <f t="shared" si="14"/>
        <v>2017</v>
      </c>
      <c r="V42" s="82"/>
      <c r="W42" s="82"/>
      <c r="X42" s="82"/>
    </row>
    <row r="43" spans="1:24" x14ac:dyDescent="0.3">
      <c r="A43" s="277"/>
      <c r="B43" s="268"/>
      <c r="C43" s="216" t="s">
        <v>9</v>
      </c>
      <c r="D43" s="105" t="str">
        <f t="shared" si="15"/>
        <v>1QSF18 Положение</v>
      </c>
      <c r="E43" s="92" t="s">
        <v>207</v>
      </c>
      <c r="F43" s="279"/>
      <c r="G43" s="281"/>
      <c r="H43" s="283"/>
      <c r="I43" s="106">
        <v>4114</v>
      </c>
      <c r="J43" s="107" t="str">
        <f t="shared" si="16"/>
        <v>SPT18DC/P1A4_GGIO2.Ind2</v>
      </c>
      <c r="K43" s="103" t="str">
        <f t="shared" ref="K43:K56" si="17">K42</f>
        <v>18DC</v>
      </c>
      <c r="L43" s="104" t="str">
        <f t="shared" ref="L43:L56" si="18">L42</f>
        <v>GGIO2</v>
      </c>
      <c r="M43" s="104" t="s">
        <v>38</v>
      </c>
      <c r="N43" s="82" t="str">
        <f t="shared" ref="N43:N56" si="19">N42</f>
        <v>P1A4_</v>
      </c>
      <c r="O43" s="82"/>
      <c r="P43" s="98">
        <v>18</v>
      </c>
      <c r="Q43" s="82" t="s">
        <v>209</v>
      </c>
      <c r="R43" s="82"/>
      <c r="S43" s="82">
        <f t="shared" si="12"/>
        <v>19</v>
      </c>
      <c r="T43" s="82" t="str">
        <f t="shared" si="13"/>
        <v>lb_dd19</v>
      </c>
      <c r="U43" s="82">
        <f t="shared" si="14"/>
        <v>2018</v>
      </c>
      <c r="V43" s="82"/>
      <c r="W43" s="82"/>
      <c r="X43" s="82"/>
    </row>
    <row r="44" spans="1:24" x14ac:dyDescent="0.3">
      <c r="A44" s="277"/>
      <c r="B44" s="268"/>
      <c r="C44" s="216" t="s">
        <v>13</v>
      </c>
      <c r="D44" s="105" t="str">
        <f t="shared" si="15"/>
        <v>1QSF18 Состояние</v>
      </c>
      <c r="E44" s="92" t="s">
        <v>208</v>
      </c>
      <c r="F44" s="279"/>
      <c r="G44" s="281"/>
      <c r="H44" s="283"/>
      <c r="I44" s="106">
        <v>4115</v>
      </c>
      <c r="J44" s="107" t="str">
        <f t="shared" si="16"/>
        <v>SPT18DC/P1A4_GGIO2.Alm2</v>
      </c>
      <c r="K44" s="103" t="str">
        <f t="shared" si="17"/>
        <v>18DC</v>
      </c>
      <c r="L44" s="104" t="str">
        <f t="shared" si="18"/>
        <v>GGIO2</v>
      </c>
      <c r="M44" s="108" t="s">
        <v>39</v>
      </c>
      <c r="N44" s="82" t="str">
        <f t="shared" si="19"/>
        <v>P1A4_</v>
      </c>
      <c r="O44" s="82"/>
      <c r="P44" s="98">
        <v>18</v>
      </c>
      <c r="Q44" s="82" t="s">
        <v>210</v>
      </c>
      <c r="R44" s="82"/>
      <c r="S44" s="82">
        <f t="shared" si="12"/>
        <v>20</v>
      </c>
      <c r="T44" s="82" t="str">
        <f t="shared" si="13"/>
        <v>lb_dd20</v>
      </c>
      <c r="U44" s="82">
        <f t="shared" si="14"/>
        <v>2019</v>
      </c>
      <c r="V44" s="82"/>
      <c r="W44" s="82"/>
      <c r="X44" s="82"/>
    </row>
    <row r="45" spans="1:24" x14ac:dyDescent="0.3">
      <c r="A45" s="277"/>
      <c r="B45" s="268"/>
      <c r="C45" s="216" t="s">
        <v>14</v>
      </c>
      <c r="D45" s="105" t="str">
        <f t="shared" si="15"/>
        <v>1QSF19 Положение</v>
      </c>
      <c r="E45" s="92" t="s">
        <v>207</v>
      </c>
      <c r="F45" s="279"/>
      <c r="G45" s="281"/>
      <c r="H45" s="283"/>
      <c r="I45" s="106">
        <v>4116</v>
      </c>
      <c r="J45" s="107" t="str">
        <f t="shared" si="16"/>
        <v>SPT18DC/P1A4_GGIO2.Ind3</v>
      </c>
      <c r="K45" s="103" t="str">
        <f t="shared" si="17"/>
        <v>18DC</v>
      </c>
      <c r="L45" s="104" t="str">
        <f t="shared" si="18"/>
        <v>GGIO2</v>
      </c>
      <c r="M45" s="104" t="s">
        <v>40</v>
      </c>
      <c r="N45" s="82" t="str">
        <f t="shared" si="19"/>
        <v>P1A4_</v>
      </c>
      <c r="O45" s="82"/>
      <c r="P45" s="98">
        <v>19</v>
      </c>
      <c r="Q45" s="82" t="s">
        <v>209</v>
      </c>
      <c r="R45" s="82"/>
      <c r="S45" s="82">
        <f t="shared" si="12"/>
        <v>21</v>
      </c>
      <c r="T45" s="82" t="str">
        <f t="shared" si="13"/>
        <v>lb_dd21</v>
      </c>
      <c r="U45" s="82">
        <f t="shared" si="14"/>
        <v>2020</v>
      </c>
      <c r="V45" s="82"/>
      <c r="W45" s="82"/>
      <c r="X45" s="82"/>
    </row>
    <row r="46" spans="1:24" x14ac:dyDescent="0.3">
      <c r="A46" s="277"/>
      <c r="B46" s="268"/>
      <c r="C46" s="216" t="s">
        <v>15</v>
      </c>
      <c r="D46" s="105" t="str">
        <f t="shared" si="15"/>
        <v>1QSF19 Состояние</v>
      </c>
      <c r="E46" s="92" t="s">
        <v>208</v>
      </c>
      <c r="F46" s="279"/>
      <c r="G46" s="281"/>
      <c r="H46" s="283"/>
      <c r="I46" s="106">
        <v>4117</v>
      </c>
      <c r="J46" s="107" t="str">
        <f t="shared" si="16"/>
        <v>SPT18DC/P1A4_GGIO2.Alm3</v>
      </c>
      <c r="K46" s="103" t="str">
        <f t="shared" si="17"/>
        <v>18DC</v>
      </c>
      <c r="L46" s="104" t="str">
        <f t="shared" si="18"/>
        <v>GGIO2</v>
      </c>
      <c r="M46" s="108" t="s">
        <v>41</v>
      </c>
      <c r="N46" s="82" t="str">
        <f t="shared" si="19"/>
        <v>P1A4_</v>
      </c>
      <c r="O46" s="82"/>
      <c r="P46" s="98">
        <v>19</v>
      </c>
      <c r="Q46" s="82" t="s">
        <v>210</v>
      </c>
      <c r="R46" s="82"/>
      <c r="S46" s="82">
        <f t="shared" si="12"/>
        <v>22</v>
      </c>
      <c r="T46" s="82" t="str">
        <f t="shared" si="13"/>
        <v>lb_dd22</v>
      </c>
      <c r="U46" s="82">
        <f t="shared" si="14"/>
        <v>2021</v>
      </c>
      <c r="V46" s="82"/>
      <c r="W46" s="82"/>
      <c r="X46" s="82"/>
    </row>
    <row r="47" spans="1:24" x14ac:dyDescent="0.3">
      <c r="A47" s="277"/>
      <c r="B47" s="268"/>
      <c r="C47" s="216" t="s">
        <v>16</v>
      </c>
      <c r="D47" s="105" t="str">
        <f t="shared" si="15"/>
        <v>1QSF20 Положение</v>
      </c>
      <c r="E47" s="92" t="s">
        <v>207</v>
      </c>
      <c r="F47" s="279"/>
      <c r="G47" s="281"/>
      <c r="H47" s="283"/>
      <c r="I47" s="106">
        <v>4118</v>
      </c>
      <c r="J47" s="107" t="str">
        <f t="shared" si="16"/>
        <v>SPT18DC/P1A4_GGIO2.Ind4</v>
      </c>
      <c r="K47" s="103" t="str">
        <f t="shared" si="17"/>
        <v>18DC</v>
      </c>
      <c r="L47" s="104" t="str">
        <f t="shared" si="18"/>
        <v>GGIO2</v>
      </c>
      <c r="M47" s="104" t="s">
        <v>42</v>
      </c>
      <c r="N47" s="82" t="str">
        <f t="shared" si="19"/>
        <v>P1A4_</v>
      </c>
      <c r="O47" s="82"/>
      <c r="P47" s="98">
        <v>20</v>
      </c>
      <c r="Q47" s="82" t="s">
        <v>209</v>
      </c>
      <c r="R47" s="82"/>
      <c r="S47" s="82">
        <f t="shared" si="12"/>
        <v>23</v>
      </c>
      <c r="T47" s="82" t="str">
        <f t="shared" si="13"/>
        <v>lb_dd23</v>
      </c>
      <c r="U47" s="82">
        <f t="shared" si="14"/>
        <v>2022</v>
      </c>
      <c r="V47" s="82"/>
      <c r="W47" s="82"/>
      <c r="X47" s="82"/>
    </row>
    <row r="48" spans="1:24" x14ac:dyDescent="0.3">
      <c r="A48" s="277"/>
      <c r="B48" s="268"/>
      <c r="C48" s="216" t="s">
        <v>17</v>
      </c>
      <c r="D48" s="105" t="str">
        <f t="shared" si="15"/>
        <v>1QSF20 Состояние</v>
      </c>
      <c r="E48" s="92" t="s">
        <v>208</v>
      </c>
      <c r="F48" s="279"/>
      <c r="G48" s="281"/>
      <c r="H48" s="283"/>
      <c r="I48" s="106">
        <v>4119</v>
      </c>
      <c r="J48" s="107" t="str">
        <f t="shared" si="16"/>
        <v>SPT18DC/P1A4_GGIO2.Alm4</v>
      </c>
      <c r="K48" s="103" t="str">
        <f t="shared" si="17"/>
        <v>18DC</v>
      </c>
      <c r="L48" s="104" t="str">
        <f t="shared" si="18"/>
        <v>GGIO2</v>
      </c>
      <c r="M48" s="108" t="s">
        <v>43</v>
      </c>
      <c r="N48" s="82" t="str">
        <f t="shared" si="19"/>
        <v>P1A4_</v>
      </c>
      <c r="O48" s="82"/>
      <c r="P48" s="98">
        <v>20</v>
      </c>
      <c r="Q48" s="82" t="s">
        <v>210</v>
      </c>
      <c r="R48" s="82"/>
      <c r="S48" s="82">
        <f t="shared" si="12"/>
        <v>24</v>
      </c>
      <c r="T48" s="82" t="str">
        <f t="shared" si="13"/>
        <v>lb_dd24</v>
      </c>
      <c r="U48" s="82">
        <f t="shared" si="14"/>
        <v>2023</v>
      </c>
      <c r="V48" s="82"/>
      <c r="W48" s="82"/>
      <c r="X48" s="82"/>
    </row>
    <row r="49" spans="1:24" x14ac:dyDescent="0.3">
      <c r="A49" s="277"/>
      <c r="B49" s="268"/>
      <c r="C49" s="216" t="s">
        <v>18</v>
      </c>
      <c r="D49" s="105" t="str">
        <f t="shared" si="15"/>
        <v>1QSF21 Положение</v>
      </c>
      <c r="E49" s="92" t="s">
        <v>207</v>
      </c>
      <c r="F49" s="279"/>
      <c r="G49" s="281"/>
      <c r="H49" s="283"/>
      <c r="I49" s="106">
        <v>4120</v>
      </c>
      <c r="J49" s="107" t="str">
        <f t="shared" si="16"/>
        <v>SPT18DC/P1A4_GGIO2.Ind5</v>
      </c>
      <c r="K49" s="103" t="str">
        <f t="shared" si="17"/>
        <v>18DC</v>
      </c>
      <c r="L49" s="104" t="str">
        <f t="shared" si="18"/>
        <v>GGIO2</v>
      </c>
      <c r="M49" s="104" t="s">
        <v>44</v>
      </c>
      <c r="N49" s="82" t="str">
        <f t="shared" si="19"/>
        <v>P1A4_</v>
      </c>
      <c r="O49" s="82"/>
      <c r="P49" s="109" t="s">
        <v>666</v>
      </c>
      <c r="Q49" s="82" t="s">
        <v>209</v>
      </c>
      <c r="R49" s="82"/>
      <c r="S49" s="82">
        <f t="shared" si="12"/>
        <v>25</v>
      </c>
      <c r="T49" s="82" t="str">
        <f t="shared" si="13"/>
        <v>lb_dd25</v>
      </c>
      <c r="U49" s="82">
        <f t="shared" si="14"/>
        <v>2024</v>
      </c>
      <c r="V49" s="82"/>
      <c r="W49" s="82"/>
      <c r="X49" s="82"/>
    </row>
    <row r="50" spans="1:24" x14ac:dyDescent="0.3">
      <c r="A50" s="277"/>
      <c r="B50" s="268"/>
      <c r="C50" s="216" t="s">
        <v>19</v>
      </c>
      <c r="D50" s="105" t="str">
        <f t="shared" si="15"/>
        <v>1QSF21 Состояние</v>
      </c>
      <c r="E50" s="92" t="s">
        <v>208</v>
      </c>
      <c r="F50" s="279"/>
      <c r="G50" s="281"/>
      <c r="H50" s="283"/>
      <c r="I50" s="106">
        <v>4121</v>
      </c>
      <c r="J50" s="107" t="str">
        <f t="shared" si="16"/>
        <v>SPT18DC/P1A4_GGIO2.Alm5</v>
      </c>
      <c r="K50" s="103" t="str">
        <f t="shared" si="17"/>
        <v>18DC</v>
      </c>
      <c r="L50" s="104" t="str">
        <f t="shared" si="18"/>
        <v>GGIO2</v>
      </c>
      <c r="M50" s="108" t="s">
        <v>45</v>
      </c>
      <c r="N50" s="82" t="str">
        <f t="shared" si="19"/>
        <v>P1A4_</v>
      </c>
      <c r="O50" s="82"/>
      <c r="P50" s="109" t="s">
        <v>666</v>
      </c>
      <c r="Q50" s="82" t="s">
        <v>210</v>
      </c>
      <c r="R50" s="82"/>
      <c r="S50" s="82">
        <f t="shared" si="12"/>
        <v>26</v>
      </c>
      <c r="T50" s="82" t="str">
        <f t="shared" si="13"/>
        <v>lb_dd26</v>
      </c>
      <c r="U50" s="82">
        <f t="shared" si="14"/>
        <v>2025</v>
      </c>
      <c r="V50" s="82"/>
      <c r="W50" s="82"/>
      <c r="X50" s="82"/>
    </row>
    <row r="51" spans="1:24" x14ac:dyDescent="0.3">
      <c r="A51" s="277"/>
      <c r="B51" s="268"/>
      <c r="C51" s="216" t="s">
        <v>20</v>
      </c>
      <c r="D51" s="105" t="str">
        <f t="shared" si="15"/>
        <v>1QSF22 Положение</v>
      </c>
      <c r="E51" s="92" t="s">
        <v>207</v>
      </c>
      <c r="F51" s="279"/>
      <c r="G51" s="281"/>
      <c r="H51" s="283"/>
      <c r="I51" s="106">
        <v>4122</v>
      </c>
      <c r="J51" s="107" t="str">
        <f t="shared" si="16"/>
        <v>SPT18DC/P1A4_GGIO2.Ind6</v>
      </c>
      <c r="K51" s="103" t="str">
        <f t="shared" si="17"/>
        <v>18DC</v>
      </c>
      <c r="L51" s="104" t="str">
        <f t="shared" si="18"/>
        <v>GGIO2</v>
      </c>
      <c r="M51" s="104" t="s">
        <v>46</v>
      </c>
      <c r="N51" s="82" t="str">
        <f t="shared" si="19"/>
        <v>P1A4_</v>
      </c>
      <c r="O51" s="82"/>
      <c r="P51" s="109" t="s">
        <v>667</v>
      </c>
      <c r="Q51" s="82" t="s">
        <v>209</v>
      </c>
      <c r="R51" s="82"/>
      <c r="S51" s="82">
        <f t="shared" si="12"/>
        <v>27</v>
      </c>
      <c r="T51" s="82" t="str">
        <f t="shared" si="13"/>
        <v>lb_dd27</v>
      </c>
      <c r="U51" s="82">
        <f t="shared" si="14"/>
        <v>2026</v>
      </c>
      <c r="V51" s="82"/>
      <c r="W51" s="82"/>
      <c r="X51" s="82"/>
    </row>
    <row r="52" spans="1:24" x14ac:dyDescent="0.3">
      <c r="A52" s="277"/>
      <c r="B52" s="268"/>
      <c r="C52" s="216" t="s">
        <v>21</v>
      </c>
      <c r="D52" s="105" t="str">
        <f t="shared" si="15"/>
        <v>1QSF22 Состояние</v>
      </c>
      <c r="E52" s="92" t="s">
        <v>208</v>
      </c>
      <c r="F52" s="279"/>
      <c r="G52" s="281"/>
      <c r="H52" s="283"/>
      <c r="I52" s="106">
        <v>4123</v>
      </c>
      <c r="J52" s="107" t="str">
        <f t="shared" si="16"/>
        <v>SPT18DC/P1A4_GGIO2.Alm6</v>
      </c>
      <c r="K52" s="103" t="str">
        <f t="shared" si="17"/>
        <v>18DC</v>
      </c>
      <c r="L52" s="104" t="str">
        <f t="shared" si="18"/>
        <v>GGIO2</v>
      </c>
      <c r="M52" s="108" t="s">
        <v>47</v>
      </c>
      <c r="N52" s="82" t="str">
        <f t="shared" si="19"/>
        <v>P1A4_</v>
      </c>
      <c r="O52" s="82"/>
      <c r="P52" s="109" t="s">
        <v>667</v>
      </c>
      <c r="Q52" s="82" t="s">
        <v>210</v>
      </c>
      <c r="R52" s="82"/>
      <c r="S52" s="82">
        <f t="shared" si="12"/>
        <v>28</v>
      </c>
      <c r="T52" s="82" t="str">
        <f t="shared" si="13"/>
        <v>lb_dd28</v>
      </c>
      <c r="U52" s="82">
        <f t="shared" si="14"/>
        <v>2027</v>
      </c>
      <c r="V52" s="82"/>
      <c r="W52" s="82"/>
      <c r="X52" s="82"/>
    </row>
    <row r="53" spans="1:24" x14ac:dyDescent="0.3">
      <c r="A53" s="277"/>
      <c r="B53" s="268"/>
      <c r="C53" s="216" t="s">
        <v>22</v>
      </c>
      <c r="D53" s="105" t="str">
        <f t="shared" si="15"/>
        <v>1QSF23 Положение</v>
      </c>
      <c r="E53" s="92" t="s">
        <v>207</v>
      </c>
      <c r="F53" s="279"/>
      <c r="G53" s="281"/>
      <c r="H53" s="283"/>
      <c r="I53" s="106">
        <v>4124</v>
      </c>
      <c r="J53" s="107" t="str">
        <f t="shared" si="16"/>
        <v>SPT18DC/P1A4_GGIO2.Ind7</v>
      </c>
      <c r="K53" s="103" t="str">
        <f t="shared" si="17"/>
        <v>18DC</v>
      </c>
      <c r="L53" s="104" t="str">
        <f t="shared" si="18"/>
        <v>GGIO2</v>
      </c>
      <c r="M53" s="104" t="s">
        <v>48</v>
      </c>
      <c r="N53" s="82" t="str">
        <f t="shared" si="19"/>
        <v>P1A4_</v>
      </c>
      <c r="O53" s="82"/>
      <c r="P53" s="109" t="s">
        <v>668</v>
      </c>
      <c r="Q53" s="82" t="s">
        <v>209</v>
      </c>
      <c r="R53" s="82"/>
      <c r="S53" s="82">
        <f t="shared" si="12"/>
        <v>29</v>
      </c>
      <c r="T53" s="82" t="str">
        <f t="shared" si="13"/>
        <v>lb_dd29</v>
      </c>
      <c r="U53" s="82">
        <f t="shared" si="14"/>
        <v>2028</v>
      </c>
      <c r="V53" s="82"/>
      <c r="W53" s="82"/>
      <c r="X53" s="82"/>
    </row>
    <row r="54" spans="1:24" x14ac:dyDescent="0.3">
      <c r="A54" s="277"/>
      <c r="B54" s="268"/>
      <c r="C54" s="216" t="s">
        <v>23</v>
      </c>
      <c r="D54" s="105" t="str">
        <f t="shared" si="15"/>
        <v>1QSF23 Состояние</v>
      </c>
      <c r="E54" s="92" t="s">
        <v>208</v>
      </c>
      <c r="F54" s="279"/>
      <c r="G54" s="281"/>
      <c r="H54" s="283"/>
      <c r="I54" s="106">
        <v>4125</v>
      </c>
      <c r="J54" s="107" t="str">
        <f t="shared" si="16"/>
        <v>SPT18DC/P1A4_GGIO2.Alm7</v>
      </c>
      <c r="K54" s="103" t="str">
        <f t="shared" si="17"/>
        <v>18DC</v>
      </c>
      <c r="L54" s="104" t="str">
        <f t="shared" si="18"/>
        <v>GGIO2</v>
      </c>
      <c r="M54" s="108" t="s">
        <v>49</v>
      </c>
      <c r="N54" s="82" t="str">
        <f t="shared" si="19"/>
        <v>P1A4_</v>
      </c>
      <c r="O54" s="82"/>
      <c r="P54" s="109" t="s">
        <v>668</v>
      </c>
      <c r="Q54" s="82" t="s">
        <v>210</v>
      </c>
      <c r="R54" s="82"/>
      <c r="S54" s="82">
        <f t="shared" si="12"/>
        <v>30</v>
      </c>
      <c r="T54" s="82" t="str">
        <f t="shared" si="13"/>
        <v>lb_dd30</v>
      </c>
      <c r="U54" s="82">
        <f t="shared" si="14"/>
        <v>2029</v>
      </c>
      <c r="V54" s="82"/>
      <c r="W54" s="82"/>
      <c r="X54" s="82"/>
    </row>
    <row r="55" spans="1:24" x14ac:dyDescent="0.3">
      <c r="A55" s="277"/>
      <c r="B55" s="268"/>
      <c r="C55" s="216" t="s">
        <v>24</v>
      </c>
      <c r="D55" s="105" t="str">
        <f t="shared" si="15"/>
        <v>1QSF24 Положение</v>
      </c>
      <c r="E55" s="92" t="s">
        <v>207</v>
      </c>
      <c r="F55" s="279"/>
      <c r="G55" s="281"/>
      <c r="H55" s="283"/>
      <c r="I55" s="106">
        <v>4126</v>
      </c>
      <c r="J55" s="107" t="str">
        <f t="shared" si="16"/>
        <v>SPT18DC/P1A4_GGIO2.Ind8</v>
      </c>
      <c r="K55" s="103" t="str">
        <f t="shared" si="17"/>
        <v>18DC</v>
      </c>
      <c r="L55" s="104" t="str">
        <f t="shared" si="18"/>
        <v>GGIO2</v>
      </c>
      <c r="M55" s="104" t="s">
        <v>55</v>
      </c>
      <c r="N55" s="82" t="str">
        <f t="shared" si="19"/>
        <v>P1A4_</v>
      </c>
      <c r="O55" s="82"/>
      <c r="P55" s="109" t="s">
        <v>669</v>
      </c>
      <c r="Q55" s="82" t="s">
        <v>209</v>
      </c>
      <c r="R55" s="82"/>
      <c r="S55" s="82">
        <f t="shared" si="12"/>
        <v>31</v>
      </c>
      <c r="T55" s="82" t="str">
        <f t="shared" si="13"/>
        <v>lb_dd31</v>
      </c>
      <c r="U55" s="82">
        <f t="shared" si="14"/>
        <v>2030</v>
      </c>
      <c r="V55" s="82"/>
      <c r="W55" s="82"/>
      <c r="X55" s="82"/>
    </row>
    <row r="56" spans="1:24" x14ac:dyDescent="0.3">
      <c r="A56" s="277"/>
      <c r="B56" s="268"/>
      <c r="C56" s="216" t="s">
        <v>25</v>
      </c>
      <c r="D56" s="105" t="str">
        <f t="shared" si="15"/>
        <v>1QSF24 Состояние</v>
      </c>
      <c r="E56" s="92" t="s">
        <v>208</v>
      </c>
      <c r="F56" s="280"/>
      <c r="G56" s="281"/>
      <c r="H56" s="284"/>
      <c r="I56" s="106">
        <v>4127</v>
      </c>
      <c r="J56" s="107" t="str">
        <f t="shared" si="16"/>
        <v>SPT18DC/P1A4_GGIO2.Alm8</v>
      </c>
      <c r="K56" s="103" t="str">
        <f t="shared" si="17"/>
        <v>18DC</v>
      </c>
      <c r="L56" s="104" t="str">
        <f t="shared" si="18"/>
        <v>GGIO2</v>
      </c>
      <c r="M56" s="108" t="s">
        <v>56</v>
      </c>
      <c r="N56" s="82" t="str">
        <f t="shared" si="19"/>
        <v>P1A4_</v>
      </c>
      <c r="O56" s="82"/>
      <c r="P56" s="109" t="s">
        <v>669</v>
      </c>
      <c r="Q56" s="82" t="s">
        <v>210</v>
      </c>
      <c r="R56" s="82"/>
      <c r="S56" s="82">
        <f t="shared" si="12"/>
        <v>32</v>
      </c>
      <c r="T56" s="82" t="str">
        <f t="shared" si="13"/>
        <v>lb_dd32</v>
      </c>
      <c r="U56" s="82">
        <f t="shared" si="14"/>
        <v>2031</v>
      </c>
      <c r="V56" s="82"/>
      <c r="W56" s="82"/>
      <c r="X56" s="82"/>
    </row>
    <row r="57" spans="1:24" x14ac:dyDescent="0.3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103"/>
      <c r="L57" s="112"/>
      <c r="M57" s="110"/>
      <c r="N57" s="110"/>
      <c r="O57" s="110"/>
      <c r="P57" s="117"/>
      <c r="Q57" s="110"/>
      <c r="R57" s="110"/>
      <c r="S57" s="110"/>
      <c r="T57" s="110"/>
      <c r="U57" s="110"/>
      <c r="V57" s="110"/>
      <c r="W57" s="110"/>
      <c r="X57" s="110"/>
    </row>
    <row r="58" spans="1:24" x14ac:dyDescent="0.3">
      <c r="A58" s="274" t="s">
        <v>672</v>
      </c>
      <c r="B58" s="275"/>
      <c r="C58" s="275"/>
      <c r="D58" s="275"/>
      <c r="E58" s="275"/>
      <c r="F58" s="275"/>
      <c r="G58" s="275"/>
      <c r="H58" s="275"/>
      <c r="I58" s="275"/>
      <c r="J58" s="276"/>
      <c r="K58" s="223"/>
      <c r="L58" s="104"/>
      <c r="M58" s="82"/>
      <c r="N58" s="119"/>
      <c r="O58" s="120"/>
      <c r="P58" s="121"/>
      <c r="Q58" s="122"/>
      <c r="R58" s="122"/>
      <c r="S58" s="224"/>
      <c r="T58" s="124"/>
      <c r="U58" s="125"/>
      <c r="V58" s="126"/>
      <c r="W58" s="122"/>
      <c r="X58" s="127"/>
    </row>
    <row r="59" spans="1:24" hidden="1" x14ac:dyDescent="0.3">
      <c r="A59" s="299">
        <v>25</v>
      </c>
      <c r="B59" s="301" t="s">
        <v>3</v>
      </c>
      <c r="C59" s="95" t="s">
        <v>32</v>
      </c>
      <c r="D59" s="128" t="s">
        <v>297</v>
      </c>
      <c r="E59" s="129" t="s">
        <v>4</v>
      </c>
      <c r="F59" s="314" t="s">
        <v>28</v>
      </c>
      <c r="G59" s="285" t="s">
        <v>353</v>
      </c>
      <c r="H59" s="285" t="s">
        <v>59</v>
      </c>
      <c r="I59" s="115">
        <v>4192</v>
      </c>
      <c r="J59" s="92" t="str">
        <f>IF(OR(D59="",D59="-"),"",CONCATENATE("SPT",K59,"/",N59,L59,".",M59))</f>
        <v>SPT103DC/P1A1_GGIO3.Alm1</v>
      </c>
      <c r="K59" s="182" t="s">
        <v>583</v>
      </c>
      <c r="L59" s="178" t="s">
        <v>246</v>
      </c>
      <c r="M59" s="108" t="s">
        <v>37</v>
      </c>
      <c r="N59" s="179" t="s">
        <v>487</v>
      </c>
      <c r="O59" s="120"/>
      <c r="P59" s="121"/>
      <c r="Q59" s="122"/>
      <c r="R59" s="122"/>
      <c r="S59" s="82">
        <f t="shared" ref="S59:S61" si="20">I59-4095</f>
        <v>97</v>
      </c>
      <c r="T59" s="82" t="str">
        <f t="shared" ref="T59:T61" si="21">_xlfn.CONCAT($T$1,S59)</f>
        <v>lb_dd97</v>
      </c>
      <c r="U59" s="125"/>
      <c r="V59" s="126"/>
      <c r="W59" s="122"/>
      <c r="X59" s="127"/>
    </row>
    <row r="60" spans="1:24" hidden="1" x14ac:dyDescent="0.3">
      <c r="A60" s="300"/>
      <c r="B60" s="302"/>
      <c r="C60" s="95" t="s">
        <v>33</v>
      </c>
      <c r="D60" s="128" t="s">
        <v>298</v>
      </c>
      <c r="E60" s="129" t="s">
        <v>4</v>
      </c>
      <c r="F60" s="315"/>
      <c r="G60" s="294"/>
      <c r="H60" s="294"/>
      <c r="I60" s="115">
        <v>4193</v>
      </c>
      <c r="J60" s="92" t="str">
        <f t="shared" ref="J60:J66" si="22">IF(OR(D60="",D60="-"),"",CONCATENATE("SPT",K60,"/",N60,L60,".",M60))</f>
        <v>SPT103DC/P1A1_GGIO3.Alm2</v>
      </c>
      <c r="K60" s="223" t="str">
        <f>K59</f>
        <v>103DC</v>
      </c>
      <c r="L60" s="104" t="str">
        <f>L59</f>
        <v>GGIO3</v>
      </c>
      <c r="M60" s="108" t="s">
        <v>39</v>
      </c>
      <c r="N60" s="119" t="str">
        <f>N59</f>
        <v>P1A1_</v>
      </c>
      <c r="O60" s="120"/>
      <c r="P60" s="121"/>
      <c r="Q60" s="122"/>
      <c r="R60" s="122"/>
      <c r="S60" s="82">
        <f t="shared" si="20"/>
        <v>98</v>
      </c>
      <c r="T60" s="82" t="str">
        <f t="shared" si="21"/>
        <v>lb_dd98</v>
      </c>
      <c r="U60" s="125"/>
      <c r="V60" s="126"/>
      <c r="W60" s="122"/>
      <c r="X60" s="127"/>
    </row>
    <row r="61" spans="1:24" hidden="1" x14ac:dyDescent="0.3">
      <c r="A61" s="300"/>
      <c r="B61" s="302"/>
      <c r="C61" s="95" t="s">
        <v>34</v>
      </c>
      <c r="D61" s="128" t="s">
        <v>299</v>
      </c>
      <c r="E61" s="129" t="s">
        <v>4</v>
      </c>
      <c r="F61" s="315"/>
      <c r="G61" s="294"/>
      <c r="H61" s="294"/>
      <c r="I61" s="115">
        <v>4194</v>
      </c>
      <c r="J61" s="92" t="str">
        <f t="shared" si="22"/>
        <v>SPT103DC/P1A1_GGIO3.Alm3</v>
      </c>
      <c r="K61" s="223" t="str">
        <f t="shared" ref="K61:L66" si="23">K60</f>
        <v>103DC</v>
      </c>
      <c r="L61" s="104" t="str">
        <f t="shared" si="23"/>
        <v>GGIO3</v>
      </c>
      <c r="M61" s="108" t="s">
        <v>41</v>
      </c>
      <c r="N61" s="119" t="str">
        <f t="shared" ref="N61:N66" si="24">N60</f>
        <v>P1A1_</v>
      </c>
      <c r="O61" s="120"/>
      <c r="P61" s="121"/>
      <c r="Q61" s="122"/>
      <c r="R61" s="122"/>
      <c r="S61" s="82">
        <f t="shared" si="20"/>
        <v>99</v>
      </c>
      <c r="T61" s="82" t="str">
        <f t="shared" si="21"/>
        <v>lb_dd99</v>
      </c>
      <c r="U61" s="125"/>
      <c r="V61" s="126"/>
      <c r="W61" s="122"/>
      <c r="X61" s="127"/>
    </row>
    <row r="62" spans="1:24" x14ac:dyDescent="0.3">
      <c r="A62" s="300"/>
      <c r="B62" s="302"/>
      <c r="C62" s="95" t="s">
        <v>484</v>
      </c>
      <c r="D62" s="92" t="s">
        <v>683</v>
      </c>
      <c r="E62" s="129" t="s">
        <v>4</v>
      </c>
      <c r="F62" s="316"/>
      <c r="G62" s="294"/>
      <c r="H62" s="286"/>
      <c r="I62" s="115">
        <v>4195</v>
      </c>
      <c r="J62" s="92" t="str">
        <f t="shared" si="22"/>
        <v>SPT18DC/P1A1_GGIO3.Alm4</v>
      </c>
      <c r="K62" s="223" t="s">
        <v>791</v>
      </c>
      <c r="L62" s="104" t="str">
        <f t="shared" si="23"/>
        <v>GGIO3</v>
      </c>
      <c r="M62" s="108" t="s">
        <v>43</v>
      </c>
      <c r="N62" s="119" t="str">
        <f t="shared" si="24"/>
        <v>P1A1_</v>
      </c>
      <c r="O62" s="120"/>
      <c r="P62" s="121"/>
      <c r="Q62" s="122"/>
      <c r="R62" s="122"/>
      <c r="S62" s="82"/>
      <c r="T62" s="82"/>
      <c r="U62" s="125"/>
      <c r="V62" s="126"/>
      <c r="W62" s="122"/>
      <c r="X62" s="127"/>
    </row>
    <row r="63" spans="1:24" hidden="1" x14ac:dyDescent="0.3">
      <c r="A63" s="300"/>
      <c r="B63" s="302"/>
      <c r="C63" s="183">
        <v>400</v>
      </c>
      <c r="D63" s="128" t="s">
        <v>216</v>
      </c>
      <c r="E63" s="129" t="s">
        <v>35</v>
      </c>
      <c r="F63" s="314" t="s">
        <v>30</v>
      </c>
      <c r="G63" s="294"/>
      <c r="H63" s="285" t="s">
        <v>3</v>
      </c>
      <c r="I63" s="115">
        <v>8704</v>
      </c>
      <c r="J63" s="92" t="str">
        <f t="shared" si="22"/>
        <v>SPT18DC/P1A1_GGIO3.AnIn1</v>
      </c>
      <c r="K63" s="223" t="str">
        <f t="shared" si="23"/>
        <v>18DC</v>
      </c>
      <c r="L63" s="104" t="str">
        <f t="shared" si="23"/>
        <v>GGIO3</v>
      </c>
      <c r="M63" s="110" t="s">
        <v>51</v>
      </c>
      <c r="N63" s="119" t="str">
        <f t="shared" si="24"/>
        <v>P1A1_</v>
      </c>
      <c r="O63" s="120"/>
      <c r="P63" s="121"/>
      <c r="Q63" s="122"/>
      <c r="R63" s="122"/>
      <c r="S63" s="224"/>
      <c r="T63" s="124"/>
      <c r="U63" s="125"/>
      <c r="V63" s="126"/>
      <c r="W63" s="122"/>
      <c r="X63" s="127"/>
    </row>
    <row r="64" spans="1:24" hidden="1" x14ac:dyDescent="0.3">
      <c r="A64" s="300"/>
      <c r="B64" s="302"/>
      <c r="C64" s="183">
        <v>402</v>
      </c>
      <c r="D64" s="128" t="s">
        <v>213</v>
      </c>
      <c r="E64" s="129" t="s">
        <v>35</v>
      </c>
      <c r="F64" s="315"/>
      <c r="G64" s="294"/>
      <c r="H64" s="294"/>
      <c r="I64" s="115">
        <v>8706</v>
      </c>
      <c r="J64" s="92" t="str">
        <f t="shared" si="22"/>
        <v>SPT18DC/P1A1_GGIO3.AnIn2</v>
      </c>
      <c r="K64" s="223" t="str">
        <f t="shared" si="23"/>
        <v>18DC</v>
      </c>
      <c r="L64" s="104" t="str">
        <f t="shared" si="23"/>
        <v>GGIO3</v>
      </c>
      <c r="M64" s="110" t="s">
        <v>52</v>
      </c>
      <c r="N64" s="119" t="str">
        <f t="shared" si="24"/>
        <v>P1A1_</v>
      </c>
      <c r="O64" s="120"/>
      <c r="P64" s="121"/>
      <c r="Q64" s="122"/>
      <c r="R64" s="122"/>
      <c r="S64" s="224"/>
      <c r="T64" s="124"/>
      <c r="U64" s="125"/>
      <c r="V64" s="126"/>
      <c r="W64" s="122"/>
      <c r="X64" s="127"/>
    </row>
    <row r="65" spans="1:24" hidden="1" x14ac:dyDescent="0.3">
      <c r="A65" s="300"/>
      <c r="B65" s="302"/>
      <c r="C65" s="183">
        <v>404</v>
      </c>
      <c r="D65" s="128" t="s">
        <v>215</v>
      </c>
      <c r="E65" s="129" t="s">
        <v>35</v>
      </c>
      <c r="F65" s="315"/>
      <c r="G65" s="294"/>
      <c r="H65" s="294"/>
      <c r="I65" s="115">
        <v>8708</v>
      </c>
      <c r="J65" s="92" t="str">
        <f t="shared" si="22"/>
        <v>SPT18DC/P1A1_GGIO3.AnIn3</v>
      </c>
      <c r="K65" s="223" t="str">
        <f t="shared" si="23"/>
        <v>18DC</v>
      </c>
      <c r="L65" s="104" t="str">
        <f t="shared" si="23"/>
        <v>GGIO3</v>
      </c>
      <c r="M65" s="110" t="s">
        <v>53</v>
      </c>
      <c r="N65" s="119" t="str">
        <f t="shared" si="24"/>
        <v>P1A1_</v>
      </c>
      <c r="O65" s="120"/>
      <c r="P65" s="121"/>
      <c r="Q65" s="122"/>
      <c r="R65" s="122"/>
      <c r="S65" s="224"/>
      <c r="T65" s="124"/>
      <c r="U65" s="125"/>
      <c r="V65" s="126"/>
      <c r="W65" s="122"/>
      <c r="X65" s="127"/>
    </row>
    <row r="66" spans="1:24" x14ac:dyDescent="0.3">
      <c r="A66" s="326"/>
      <c r="B66" s="313"/>
      <c r="C66" s="183">
        <v>406</v>
      </c>
      <c r="D66" s="82" t="s">
        <v>486</v>
      </c>
      <c r="E66" s="129" t="s">
        <v>35</v>
      </c>
      <c r="F66" s="316"/>
      <c r="G66" s="286"/>
      <c r="H66" s="286"/>
      <c r="I66" s="115">
        <v>8709</v>
      </c>
      <c r="J66" s="92" t="str">
        <f t="shared" si="22"/>
        <v>SPT18DC/P1A1_GGIO3.AnIn4</v>
      </c>
      <c r="K66" s="223" t="str">
        <f t="shared" si="23"/>
        <v>18DC</v>
      </c>
      <c r="L66" s="104" t="str">
        <f t="shared" si="23"/>
        <v>GGIO3</v>
      </c>
      <c r="M66" s="110" t="s">
        <v>54</v>
      </c>
      <c r="N66" s="119" t="str">
        <f t="shared" si="24"/>
        <v>P1A1_</v>
      </c>
      <c r="O66" s="120"/>
      <c r="P66" s="121"/>
      <c r="Q66" s="122"/>
      <c r="R66" s="122"/>
      <c r="S66" s="224"/>
      <c r="T66" s="124"/>
      <c r="U66" s="125"/>
      <c r="V66" s="126"/>
      <c r="W66" s="122"/>
      <c r="X66" s="127"/>
    </row>
    <row r="67" spans="1:24" x14ac:dyDescent="0.3">
      <c r="A67" s="273"/>
      <c r="B67" s="273"/>
      <c r="C67" s="273"/>
      <c r="D67" s="273"/>
      <c r="E67" s="273"/>
      <c r="F67" s="273"/>
      <c r="G67" s="273"/>
      <c r="H67" s="273"/>
      <c r="I67" s="273"/>
      <c r="J67" s="273"/>
      <c r="K67" s="103"/>
      <c r="L67" s="112"/>
      <c r="M67" s="110"/>
      <c r="N67" s="110"/>
      <c r="O67" s="110"/>
      <c r="P67" s="117"/>
      <c r="Q67" s="110"/>
      <c r="R67" s="110"/>
      <c r="S67" s="110"/>
      <c r="T67" s="110"/>
      <c r="U67" s="110"/>
      <c r="V67" s="110"/>
      <c r="W67" s="110"/>
      <c r="X67" s="110"/>
    </row>
    <row r="68" spans="1:24" x14ac:dyDescent="0.3">
      <c r="A68" s="274" t="s">
        <v>673</v>
      </c>
      <c r="B68" s="275"/>
      <c r="C68" s="275"/>
      <c r="D68" s="275"/>
      <c r="E68" s="275"/>
      <c r="F68" s="275"/>
      <c r="G68" s="275"/>
      <c r="H68" s="275"/>
      <c r="I68" s="275"/>
      <c r="J68" s="276"/>
      <c r="K68" s="223"/>
      <c r="L68" s="104"/>
      <c r="M68" s="82"/>
      <c r="N68" s="119"/>
      <c r="O68" s="120"/>
      <c r="P68" s="121"/>
      <c r="Q68" s="122"/>
      <c r="R68" s="122"/>
      <c r="S68" s="224"/>
      <c r="T68" s="124"/>
      <c r="U68" s="125"/>
      <c r="V68" s="126"/>
      <c r="W68" s="122"/>
      <c r="X68" s="127"/>
    </row>
    <row r="69" spans="1:24" x14ac:dyDescent="0.3">
      <c r="A69" s="299">
        <v>26</v>
      </c>
      <c r="B69" s="301" t="s">
        <v>3</v>
      </c>
      <c r="C69" s="95" t="s">
        <v>32</v>
      </c>
      <c r="D69" s="128" t="s">
        <v>688</v>
      </c>
      <c r="E69" s="129" t="s">
        <v>4</v>
      </c>
      <c r="F69" s="271" t="s">
        <v>28</v>
      </c>
      <c r="G69" s="269" t="s">
        <v>353</v>
      </c>
      <c r="H69" s="269" t="s">
        <v>59</v>
      </c>
      <c r="I69" s="115">
        <v>4192</v>
      </c>
      <c r="J69" s="92" t="str">
        <f>IF(OR(D69="",D69="-"),"",CONCATENATE("SPT",K69,"/",N69,L69,".",M69))</f>
        <v>SPT18DC/P1A1_GGIO3.Alm1</v>
      </c>
      <c r="K69" s="182" t="s">
        <v>791</v>
      </c>
      <c r="L69" s="178" t="s">
        <v>246</v>
      </c>
      <c r="M69" s="108" t="s">
        <v>37</v>
      </c>
      <c r="N69" s="182" t="s">
        <v>487</v>
      </c>
      <c r="O69" s="120"/>
      <c r="P69" s="121"/>
      <c r="Q69" s="122"/>
      <c r="R69" s="122"/>
      <c r="S69" s="82">
        <f t="shared" ref="S69:S71" si="25">I69-4095</f>
        <v>97</v>
      </c>
      <c r="T69" s="82" t="str">
        <f t="shared" ref="T69:T71" si="26">_xlfn.CONCAT($T$1,S69)</f>
        <v>lb_dd97</v>
      </c>
      <c r="U69" s="125"/>
      <c r="V69" s="126"/>
      <c r="W69" s="122"/>
      <c r="X69" s="127"/>
    </row>
    <row r="70" spans="1:24" x14ac:dyDescent="0.3">
      <c r="A70" s="300"/>
      <c r="B70" s="302"/>
      <c r="C70" s="95" t="s">
        <v>33</v>
      </c>
      <c r="D70" s="128" t="s">
        <v>689</v>
      </c>
      <c r="E70" s="129" t="s">
        <v>4</v>
      </c>
      <c r="F70" s="271"/>
      <c r="G70" s="269"/>
      <c r="H70" s="269"/>
      <c r="I70" s="115">
        <v>4193</v>
      </c>
      <c r="J70" s="92" t="str">
        <f t="shared" ref="J70:J76" si="27">IF(OR(D70="",D70="-"),"",CONCATENATE("SPT",K70,"/",N70,L70,".",M70))</f>
        <v>SPT18DC/P1A1_GGIO3.Alm2</v>
      </c>
      <c r="K70" s="223" t="str">
        <f>K69</f>
        <v>18DC</v>
      </c>
      <c r="L70" s="104" t="str">
        <f>L69</f>
        <v>GGIO3</v>
      </c>
      <c r="M70" s="108" t="s">
        <v>39</v>
      </c>
      <c r="N70" s="119" t="str">
        <f>N69</f>
        <v>P1A1_</v>
      </c>
      <c r="O70" s="120"/>
      <c r="P70" s="121"/>
      <c r="Q70" s="122"/>
      <c r="R70" s="122"/>
      <c r="S70" s="82">
        <f t="shared" si="25"/>
        <v>98</v>
      </c>
      <c r="T70" s="82" t="str">
        <f t="shared" si="26"/>
        <v>lb_dd98</v>
      </c>
      <c r="U70" s="125"/>
      <c r="V70" s="126"/>
      <c r="W70" s="122"/>
      <c r="X70" s="127"/>
    </row>
    <row r="71" spans="1:24" x14ac:dyDescent="0.3">
      <c r="A71" s="300"/>
      <c r="B71" s="302"/>
      <c r="C71" s="95" t="s">
        <v>34</v>
      </c>
      <c r="D71" s="128" t="s">
        <v>690</v>
      </c>
      <c r="E71" s="129" t="s">
        <v>4</v>
      </c>
      <c r="F71" s="271"/>
      <c r="G71" s="269"/>
      <c r="H71" s="269"/>
      <c r="I71" s="115">
        <v>4194</v>
      </c>
      <c r="J71" s="92" t="str">
        <f t="shared" si="27"/>
        <v>SPT18DC/P1A1_GGIO3.Alm3</v>
      </c>
      <c r="K71" s="223" t="str">
        <f t="shared" ref="K71:L76" si="28">K70</f>
        <v>18DC</v>
      </c>
      <c r="L71" s="104" t="str">
        <f t="shared" si="28"/>
        <v>GGIO3</v>
      </c>
      <c r="M71" s="108" t="s">
        <v>41</v>
      </c>
      <c r="N71" s="119" t="str">
        <f t="shared" ref="N71:N76" si="29">N70</f>
        <v>P1A1_</v>
      </c>
      <c r="O71" s="120"/>
      <c r="P71" s="121"/>
      <c r="Q71" s="122"/>
      <c r="R71" s="122"/>
      <c r="S71" s="82">
        <f t="shared" si="25"/>
        <v>99</v>
      </c>
      <c r="T71" s="82" t="str">
        <f t="shared" si="26"/>
        <v>lb_dd99</v>
      </c>
      <c r="U71" s="125"/>
      <c r="V71" s="126"/>
      <c r="W71" s="122"/>
      <c r="X71" s="127"/>
    </row>
    <row r="72" spans="1:24" hidden="1" x14ac:dyDescent="0.3">
      <c r="A72" s="300"/>
      <c r="B72" s="302"/>
      <c r="C72" s="95" t="s">
        <v>484</v>
      </c>
      <c r="D72" s="122" t="s">
        <v>485</v>
      </c>
      <c r="E72" s="129" t="s">
        <v>4</v>
      </c>
      <c r="F72" s="271"/>
      <c r="G72" s="269"/>
      <c r="H72" s="269"/>
      <c r="I72" s="115">
        <v>4195</v>
      </c>
      <c r="J72" s="92" t="str">
        <f t="shared" si="27"/>
        <v>SPT18DC/P1A1_GGIO3.Alm4</v>
      </c>
      <c r="K72" s="223" t="str">
        <f t="shared" si="28"/>
        <v>18DC</v>
      </c>
      <c r="L72" s="104" t="str">
        <f t="shared" si="28"/>
        <v>GGIO3</v>
      </c>
      <c r="M72" s="108" t="s">
        <v>43</v>
      </c>
      <c r="N72" s="119" t="str">
        <f t="shared" si="29"/>
        <v>P1A1_</v>
      </c>
      <c r="O72" s="120"/>
      <c r="P72" s="121"/>
      <c r="Q72" s="122"/>
      <c r="R72" s="122"/>
      <c r="S72" s="82"/>
      <c r="T72" s="82"/>
      <c r="U72" s="125"/>
      <c r="V72" s="126"/>
      <c r="W72" s="122"/>
      <c r="X72" s="127"/>
    </row>
    <row r="73" spans="1:24" x14ac:dyDescent="0.3">
      <c r="A73" s="300"/>
      <c r="B73" s="302"/>
      <c r="C73" s="183">
        <v>400</v>
      </c>
      <c r="D73" s="128" t="s">
        <v>216</v>
      </c>
      <c r="E73" s="129" t="s">
        <v>35</v>
      </c>
      <c r="F73" s="271" t="s">
        <v>30</v>
      </c>
      <c r="G73" s="269"/>
      <c r="H73" s="269" t="s">
        <v>3</v>
      </c>
      <c r="I73" s="115">
        <v>8704</v>
      </c>
      <c r="J73" s="92" t="str">
        <f t="shared" si="27"/>
        <v>SPT18DC/P1A1_GGIO3.AnIn1</v>
      </c>
      <c r="K73" s="223" t="str">
        <f t="shared" si="28"/>
        <v>18DC</v>
      </c>
      <c r="L73" s="104" t="str">
        <f t="shared" si="28"/>
        <v>GGIO3</v>
      </c>
      <c r="M73" s="110" t="s">
        <v>51</v>
      </c>
      <c r="N73" s="119" t="str">
        <f t="shared" si="29"/>
        <v>P1A1_</v>
      </c>
      <c r="O73" s="120"/>
      <c r="P73" s="121"/>
      <c r="Q73" s="122"/>
      <c r="R73" s="122"/>
      <c r="S73" s="224"/>
      <c r="T73" s="124"/>
      <c r="U73" s="125"/>
      <c r="V73" s="126"/>
      <c r="W73" s="122"/>
      <c r="X73" s="127"/>
    </row>
    <row r="74" spans="1:24" x14ac:dyDescent="0.3">
      <c r="A74" s="300"/>
      <c r="B74" s="302"/>
      <c r="C74" s="183">
        <v>402</v>
      </c>
      <c r="D74" s="128" t="s">
        <v>213</v>
      </c>
      <c r="E74" s="129" t="s">
        <v>35</v>
      </c>
      <c r="F74" s="271"/>
      <c r="G74" s="269"/>
      <c r="H74" s="269"/>
      <c r="I74" s="115">
        <v>8706</v>
      </c>
      <c r="J74" s="92" t="str">
        <f t="shared" si="27"/>
        <v>SPT18DC/P1A1_GGIO3.AnIn2</v>
      </c>
      <c r="K74" s="223" t="str">
        <f t="shared" si="28"/>
        <v>18DC</v>
      </c>
      <c r="L74" s="104" t="str">
        <f t="shared" si="28"/>
        <v>GGIO3</v>
      </c>
      <c r="M74" s="110" t="s">
        <v>52</v>
      </c>
      <c r="N74" s="119" t="str">
        <f t="shared" si="29"/>
        <v>P1A1_</v>
      </c>
      <c r="O74" s="120"/>
      <c r="P74" s="121"/>
      <c r="Q74" s="122"/>
      <c r="R74" s="122"/>
      <c r="S74" s="224"/>
      <c r="T74" s="124"/>
      <c r="U74" s="125"/>
      <c r="V74" s="126"/>
      <c r="W74" s="122"/>
      <c r="X74" s="127"/>
    </row>
    <row r="75" spans="1:24" x14ac:dyDescent="0.3">
      <c r="A75" s="300"/>
      <c r="B75" s="302"/>
      <c r="C75" s="183">
        <v>404</v>
      </c>
      <c r="D75" s="128" t="s">
        <v>215</v>
      </c>
      <c r="E75" s="129" t="s">
        <v>35</v>
      </c>
      <c r="F75" s="271"/>
      <c r="G75" s="269"/>
      <c r="H75" s="269"/>
      <c r="I75" s="115">
        <v>8708</v>
      </c>
      <c r="J75" s="92" t="str">
        <f t="shared" si="27"/>
        <v>SPT18DC/P1A1_GGIO3.AnIn3</v>
      </c>
      <c r="K75" s="223" t="str">
        <f t="shared" si="28"/>
        <v>18DC</v>
      </c>
      <c r="L75" s="104" t="str">
        <f t="shared" si="28"/>
        <v>GGIO3</v>
      </c>
      <c r="M75" s="110" t="s">
        <v>53</v>
      </c>
      <c r="N75" s="119" t="str">
        <f t="shared" si="29"/>
        <v>P1A1_</v>
      </c>
      <c r="O75" s="120"/>
      <c r="P75" s="121"/>
      <c r="Q75" s="122"/>
      <c r="R75" s="122"/>
      <c r="S75" s="224"/>
      <c r="T75" s="124"/>
      <c r="U75" s="125"/>
      <c r="V75" s="126"/>
      <c r="W75" s="122"/>
      <c r="X75" s="127"/>
    </row>
    <row r="76" spans="1:24" hidden="1" x14ac:dyDescent="0.3">
      <c r="A76" s="326"/>
      <c r="B76" s="313"/>
      <c r="C76" s="183">
        <v>406</v>
      </c>
      <c r="D76" s="194" t="s">
        <v>486</v>
      </c>
      <c r="E76" s="129" t="s">
        <v>35</v>
      </c>
      <c r="F76" s="271"/>
      <c r="G76" s="269"/>
      <c r="H76" s="269"/>
      <c r="I76" s="115">
        <v>8709</v>
      </c>
      <c r="J76" s="92" t="str">
        <f t="shared" si="27"/>
        <v>SPT18DC/P1A1_GGIO3.AnIn4</v>
      </c>
      <c r="K76" s="223" t="str">
        <f t="shared" si="28"/>
        <v>18DC</v>
      </c>
      <c r="L76" s="104" t="str">
        <f t="shared" si="28"/>
        <v>GGIO3</v>
      </c>
      <c r="M76" s="110" t="s">
        <v>54</v>
      </c>
      <c r="N76" s="119" t="str">
        <f t="shared" si="29"/>
        <v>P1A1_</v>
      </c>
      <c r="O76" s="120"/>
      <c r="P76" s="121"/>
      <c r="Q76" s="122"/>
      <c r="R76" s="122"/>
      <c r="S76" s="224"/>
      <c r="T76" s="124"/>
      <c r="U76" s="125"/>
      <c r="V76" s="126"/>
      <c r="W76" s="122"/>
      <c r="X76" s="127"/>
    </row>
    <row r="77" spans="1:24" x14ac:dyDescent="0.3">
      <c r="A77" s="252"/>
      <c r="B77" s="253"/>
      <c r="C77" s="253"/>
      <c r="D77" s="253"/>
      <c r="E77" s="253"/>
      <c r="F77" s="253"/>
      <c r="G77" s="253"/>
      <c r="H77" s="253"/>
      <c r="I77" s="253"/>
      <c r="J77" s="254"/>
      <c r="K77" s="103"/>
      <c r="L77" s="104"/>
      <c r="M77" s="163"/>
      <c r="N77" s="82"/>
      <c r="O77" s="82"/>
      <c r="P77" s="98"/>
      <c r="Q77" s="82"/>
      <c r="R77" s="82"/>
      <c r="S77" s="82"/>
      <c r="T77" s="82"/>
      <c r="U77" s="82"/>
      <c r="V77" s="82"/>
      <c r="W77" s="82"/>
      <c r="X77" s="82"/>
    </row>
    <row r="78" spans="1:24" x14ac:dyDescent="0.3">
      <c r="A78" s="419" t="s">
        <v>674</v>
      </c>
      <c r="B78" s="419"/>
      <c r="C78" s="419"/>
      <c r="D78" s="419"/>
      <c r="E78" s="419"/>
      <c r="F78" s="419"/>
      <c r="G78" s="419"/>
      <c r="H78" s="419"/>
      <c r="I78" s="419"/>
      <c r="J78" s="419"/>
      <c r="K78" s="103"/>
      <c r="L78" s="104"/>
      <c r="M78" s="82"/>
      <c r="N78" s="82"/>
      <c r="O78" s="82"/>
      <c r="P78" s="98"/>
      <c r="Q78" s="82"/>
      <c r="R78" s="82"/>
      <c r="S78" s="82"/>
      <c r="T78" s="82"/>
      <c r="U78" s="82"/>
      <c r="V78" s="82"/>
      <c r="W78" s="82"/>
      <c r="X78" s="82"/>
    </row>
    <row r="79" spans="1:24" x14ac:dyDescent="0.3">
      <c r="A79" s="277">
        <v>17</v>
      </c>
      <c r="B79" s="268" t="s">
        <v>7</v>
      </c>
      <c r="C79" s="216" t="s">
        <v>12</v>
      </c>
      <c r="D79" s="105" t="str">
        <f>CONCATENATE("1S",P79," ",Q79)</f>
        <v>1S1 Положение</v>
      </c>
      <c r="E79" s="92" t="s">
        <v>207</v>
      </c>
      <c r="F79" s="278" t="s">
        <v>28</v>
      </c>
      <c r="G79" s="281" t="s">
        <v>353</v>
      </c>
      <c r="H79" s="282" t="s">
        <v>59</v>
      </c>
      <c r="I79" s="106">
        <v>4112</v>
      </c>
      <c r="J79" s="107" t="str">
        <f>IF(OR(D79="",D79="-"),"",CONCATENATE("SPT",K79,"/",N79,L79,".",M79))</f>
        <v>SPT18DC/P1A4_GGIO2.Ind1</v>
      </c>
      <c r="K79" s="177" t="s">
        <v>791</v>
      </c>
      <c r="L79" s="178" t="s">
        <v>245</v>
      </c>
      <c r="M79" s="104" t="s">
        <v>36</v>
      </c>
      <c r="N79" s="179" t="s">
        <v>631</v>
      </c>
      <c r="O79" s="82"/>
      <c r="P79" s="109">
        <v>1</v>
      </c>
      <c r="Q79" s="82" t="s">
        <v>209</v>
      </c>
      <c r="R79" s="82"/>
      <c r="S79" s="82">
        <f t="shared" ref="S79:S94" si="30">I79-4095</f>
        <v>17</v>
      </c>
      <c r="T79" s="82" t="str">
        <f t="shared" ref="T79:T94" si="31">_xlfn.CONCAT($T$1,S79)</f>
        <v>lb_dd17</v>
      </c>
      <c r="U79" s="82">
        <f t="shared" ref="U79:U94" si="32">S79+1999</f>
        <v>2016</v>
      </c>
      <c r="V79" s="82">
        <v>809</v>
      </c>
      <c r="W79" s="82">
        <v>1058</v>
      </c>
      <c r="X79" s="82"/>
    </row>
    <row r="80" spans="1:24" x14ac:dyDescent="0.3">
      <c r="A80" s="277"/>
      <c r="B80" s="268"/>
      <c r="C80" s="216" t="s">
        <v>8</v>
      </c>
      <c r="D80" s="222" t="s">
        <v>29</v>
      </c>
      <c r="E80" s="222" t="s">
        <v>29</v>
      </c>
      <c r="F80" s="279"/>
      <c r="G80" s="281"/>
      <c r="H80" s="283"/>
      <c r="I80" s="106">
        <v>4113</v>
      </c>
      <c r="J80" s="430" t="str">
        <f>IF(OR(D80="",D80="-"),"-",CONCATENATE("SPT",K80,"/",N80,L80,".",M80))</f>
        <v>-</v>
      </c>
      <c r="K80" s="103" t="str">
        <f>K79</f>
        <v>18DC</v>
      </c>
      <c r="L80" s="104" t="str">
        <f>L79</f>
        <v>GGIO2</v>
      </c>
      <c r="M80" s="108" t="s">
        <v>37</v>
      </c>
      <c r="N80" s="82" t="str">
        <f>N79</f>
        <v>P1A4_</v>
      </c>
      <c r="O80" s="82"/>
      <c r="P80" s="109">
        <v>1</v>
      </c>
      <c r="Q80" s="82" t="s">
        <v>210</v>
      </c>
      <c r="R80" s="82"/>
      <c r="S80" s="82">
        <f t="shared" si="30"/>
        <v>18</v>
      </c>
      <c r="T80" s="82" t="str">
        <f t="shared" si="31"/>
        <v>lb_dd18</v>
      </c>
      <c r="U80" s="82">
        <f t="shared" si="32"/>
        <v>2017</v>
      </c>
      <c r="V80" s="82"/>
      <c r="W80" s="82"/>
      <c r="X80" s="82"/>
    </row>
    <row r="81" spans="1:24" x14ac:dyDescent="0.3">
      <c r="A81" s="277"/>
      <c r="B81" s="268"/>
      <c r="C81" s="216" t="s">
        <v>9</v>
      </c>
      <c r="D81" s="105" t="str">
        <f>CONCATENATE("QSF",P81," ",Q81)</f>
        <v>QSF1.1 Положение</v>
      </c>
      <c r="E81" s="92" t="s">
        <v>207</v>
      </c>
      <c r="F81" s="279"/>
      <c r="G81" s="281"/>
      <c r="H81" s="283"/>
      <c r="I81" s="106">
        <v>4114</v>
      </c>
      <c r="J81" s="107" t="str">
        <f t="shared" ref="J80:J94" si="33">IF(OR(D81="",D81="-"),"",CONCATENATE("SPT",K81,"/",N81,L81,".",M81))</f>
        <v>SPT18DC/P1A4_GGIO2.Ind2</v>
      </c>
      <c r="K81" s="103" t="str">
        <f t="shared" ref="K81:K94" si="34">K80</f>
        <v>18DC</v>
      </c>
      <c r="L81" s="104" t="str">
        <f t="shared" ref="L81:L94" si="35">L80</f>
        <v>GGIO2</v>
      </c>
      <c r="M81" s="104" t="str">
        <f>_xlfn.IFS(OR(E81="Авария=1",E81="Авария=0"),CONCATENATE("Alm",SUM(COUNTIF($M$79:M80,"*Alm*"),1)),OR(E81="Вкл=1",E81="Вкл=0"),CONCATENATE("Ind",SUM(COUNTIF($M$79:M80,"*Ind*"),1)))</f>
        <v>Ind2</v>
      </c>
      <c r="N81" s="82" t="str">
        <f t="shared" ref="N81:N94" si="36">N80</f>
        <v>P1A4_</v>
      </c>
      <c r="O81" s="82"/>
      <c r="P81" s="109" t="s">
        <v>692</v>
      </c>
      <c r="Q81" s="82" t="s">
        <v>209</v>
      </c>
      <c r="R81" s="82"/>
      <c r="S81" s="82">
        <f t="shared" si="30"/>
        <v>19</v>
      </c>
      <c r="T81" s="82" t="str">
        <f t="shared" si="31"/>
        <v>lb_dd19</v>
      </c>
      <c r="U81" s="82">
        <f t="shared" si="32"/>
        <v>2018</v>
      </c>
      <c r="V81" s="82"/>
      <c r="W81" s="82"/>
      <c r="X81" s="82"/>
    </row>
    <row r="82" spans="1:24" x14ac:dyDescent="0.3">
      <c r="A82" s="277"/>
      <c r="B82" s="268"/>
      <c r="C82" s="216" t="s">
        <v>13</v>
      </c>
      <c r="D82" s="105" t="str">
        <f t="shared" ref="D82:D92" si="37">CONCATENATE("QSF",P82," ",Q82)</f>
        <v>QSF1.1 Состояние</v>
      </c>
      <c r="E82" s="92" t="s">
        <v>208</v>
      </c>
      <c r="F82" s="279"/>
      <c r="G82" s="281"/>
      <c r="H82" s="283"/>
      <c r="I82" s="106">
        <v>4115</v>
      </c>
      <c r="J82" s="107" t="str">
        <f t="shared" si="33"/>
        <v>SPT18DC/P1A4_GGIO2.Alm2</v>
      </c>
      <c r="K82" s="103" t="str">
        <f t="shared" si="34"/>
        <v>18DC</v>
      </c>
      <c r="L82" s="104" t="str">
        <f t="shared" si="35"/>
        <v>GGIO2</v>
      </c>
      <c r="M82" s="104" t="str">
        <f>_xlfn.IFS(OR(E82="Авария=1",E82="Авария=0"),CONCATENATE("Alm",SUM(COUNTIF($M$79:M81,"*Alm*"),1)),OR(E82="Вкл=1",E82="Вкл=0"),CONCATENATE("Ind",SUM(COUNTIF($M$79:M81,"*Ind*"),1)))</f>
        <v>Alm2</v>
      </c>
      <c r="N82" s="82" t="str">
        <f t="shared" si="36"/>
        <v>P1A4_</v>
      </c>
      <c r="O82" s="82"/>
      <c r="P82" s="109" t="s">
        <v>692</v>
      </c>
      <c r="Q82" s="82" t="s">
        <v>210</v>
      </c>
      <c r="R82" s="82"/>
      <c r="S82" s="82">
        <f t="shared" si="30"/>
        <v>20</v>
      </c>
      <c r="T82" s="82" t="str">
        <f t="shared" si="31"/>
        <v>lb_dd20</v>
      </c>
      <c r="U82" s="82">
        <f t="shared" si="32"/>
        <v>2019</v>
      </c>
      <c r="V82" s="82"/>
      <c r="W82" s="82"/>
      <c r="X82" s="82"/>
    </row>
    <row r="83" spans="1:24" x14ac:dyDescent="0.3">
      <c r="A83" s="277"/>
      <c r="B83" s="268"/>
      <c r="C83" s="216" t="s">
        <v>14</v>
      </c>
      <c r="D83" s="105" t="str">
        <f t="shared" si="37"/>
        <v>QSF1.2 Положение</v>
      </c>
      <c r="E83" s="92" t="s">
        <v>207</v>
      </c>
      <c r="F83" s="279"/>
      <c r="G83" s="281"/>
      <c r="H83" s="283"/>
      <c r="I83" s="106">
        <v>4116</v>
      </c>
      <c r="J83" s="107" t="str">
        <f t="shared" si="33"/>
        <v>SPT18DC/P1A4_GGIO2.Ind3</v>
      </c>
      <c r="K83" s="103" t="str">
        <f t="shared" si="34"/>
        <v>18DC</v>
      </c>
      <c r="L83" s="104" t="str">
        <f t="shared" si="35"/>
        <v>GGIO2</v>
      </c>
      <c r="M83" s="104" t="str">
        <f>_xlfn.IFS(OR(E83="Авария=1",E83="Авария=0"),CONCATENATE("Alm",SUM(COUNTIF($M$79:M82,"*Alm*"),1)),OR(E83="Вкл=1",E83="Вкл=0"),CONCATENATE("Ind",SUM(COUNTIF($M$79:M82,"*Ind*"),1)))</f>
        <v>Ind3</v>
      </c>
      <c r="N83" s="82" t="str">
        <f t="shared" si="36"/>
        <v>P1A4_</v>
      </c>
      <c r="O83" s="82"/>
      <c r="P83" s="109" t="s">
        <v>693</v>
      </c>
      <c r="Q83" s="82" t="s">
        <v>209</v>
      </c>
      <c r="R83" s="82"/>
      <c r="S83" s="82">
        <f t="shared" si="30"/>
        <v>21</v>
      </c>
      <c r="T83" s="82" t="str">
        <f t="shared" si="31"/>
        <v>lb_dd21</v>
      </c>
      <c r="U83" s="82">
        <f t="shared" si="32"/>
        <v>2020</v>
      </c>
      <c r="V83" s="82"/>
      <c r="W83" s="82"/>
      <c r="X83" s="82"/>
    </row>
    <row r="84" spans="1:24" x14ac:dyDescent="0.3">
      <c r="A84" s="277"/>
      <c r="B84" s="268"/>
      <c r="C84" s="216" t="s">
        <v>15</v>
      </c>
      <c r="D84" s="105" t="str">
        <f t="shared" si="37"/>
        <v>QSF1.2 Состояние</v>
      </c>
      <c r="E84" s="92" t="s">
        <v>208</v>
      </c>
      <c r="F84" s="279"/>
      <c r="G84" s="281"/>
      <c r="H84" s="283"/>
      <c r="I84" s="106">
        <v>4117</v>
      </c>
      <c r="J84" s="107" t="str">
        <f t="shared" si="33"/>
        <v>SPT18DC/P1A4_GGIO2.Alm3</v>
      </c>
      <c r="K84" s="103" t="str">
        <f t="shared" si="34"/>
        <v>18DC</v>
      </c>
      <c r="L84" s="104" t="str">
        <f t="shared" si="35"/>
        <v>GGIO2</v>
      </c>
      <c r="M84" s="104" t="str">
        <f>_xlfn.IFS(OR(E84="Авария=1",E84="Авария=0"),CONCATENATE("Alm",SUM(COUNTIF($M$79:M83,"*Alm*"),1)),OR(E84="Вкл=1",E84="Вкл=0"),CONCATENATE("Ind",SUM(COUNTIF($M$79:M83,"*Ind*"),1)))</f>
        <v>Alm3</v>
      </c>
      <c r="N84" s="82" t="str">
        <f t="shared" si="36"/>
        <v>P1A4_</v>
      </c>
      <c r="O84" s="82"/>
      <c r="P84" s="109" t="s">
        <v>693</v>
      </c>
      <c r="Q84" s="82" t="s">
        <v>210</v>
      </c>
      <c r="R84" s="82"/>
      <c r="S84" s="82">
        <f t="shared" si="30"/>
        <v>22</v>
      </c>
      <c r="T84" s="82" t="str">
        <f t="shared" si="31"/>
        <v>lb_dd22</v>
      </c>
      <c r="U84" s="82">
        <f t="shared" si="32"/>
        <v>2021</v>
      </c>
      <c r="V84" s="82"/>
      <c r="W84" s="82"/>
      <c r="X84" s="82"/>
    </row>
    <row r="85" spans="1:24" x14ac:dyDescent="0.3">
      <c r="A85" s="277"/>
      <c r="B85" s="268"/>
      <c r="C85" s="216" t="s">
        <v>16</v>
      </c>
      <c r="D85" s="105" t="str">
        <f t="shared" si="37"/>
        <v>QSF1.3 Положение</v>
      </c>
      <c r="E85" s="92" t="s">
        <v>207</v>
      </c>
      <c r="F85" s="279"/>
      <c r="G85" s="281"/>
      <c r="H85" s="283"/>
      <c r="I85" s="106">
        <v>4118</v>
      </c>
      <c r="J85" s="107" t="str">
        <f t="shared" si="33"/>
        <v>SPT18DC/P1A4_GGIO2.Ind4</v>
      </c>
      <c r="K85" s="103" t="str">
        <f t="shared" si="34"/>
        <v>18DC</v>
      </c>
      <c r="L85" s="104" t="str">
        <f t="shared" si="35"/>
        <v>GGIO2</v>
      </c>
      <c r="M85" s="104" t="str">
        <f>_xlfn.IFS(OR(E85="Авария=1",E85="Авария=0"),CONCATENATE("Alm",SUM(COUNTIF($M$79:M84,"*Alm*"),1)),OR(E85="Вкл=1",E85="Вкл=0"),CONCATENATE("Ind",SUM(COUNTIF($M$79:M84,"*Ind*"),1)))</f>
        <v>Ind4</v>
      </c>
      <c r="N85" s="82" t="str">
        <f t="shared" si="36"/>
        <v>P1A4_</v>
      </c>
      <c r="O85" s="82"/>
      <c r="P85" s="109" t="s">
        <v>694</v>
      </c>
      <c r="Q85" s="82" t="s">
        <v>209</v>
      </c>
      <c r="R85" s="82"/>
      <c r="S85" s="82">
        <f t="shared" si="30"/>
        <v>23</v>
      </c>
      <c r="T85" s="82" t="str">
        <f t="shared" si="31"/>
        <v>lb_dd23</v>
      </c>
      <c r="U85" s="82">
        <f t="shared" si="32"/>
        <v>2022</v>
      </c>
      <c r="V85" s="82"/>
      <c r="W85" s="82"/>
      <c r="X85" s="82"/>
    </row>
    <row r="86" spans="1:24" x14ac:dyDescent="0.3">
      <c r="A86" s="277"/>
      <c r="B86" s="268"/>
      <c r="C86" s="216" t="s">
        <v>17</v>
      </c>
      <c r="D86" s="105" t="str">
        <f t="shared" si="37"/>
        <v>QSF1.3 Состояние</v>
      </c>
      <c r="E86" s="92" t="s">
        <v>208</v>
      </c>
      <c r="F86" s="279"/>
      <c r="G86" s="281"/>
      <c r="H86" s="283"/>
      <c r="I86" s="106">
        <v>4119</v>
      </c>
      <c r="J86" s="107" t="str">
        <f t="shared" si="33"/>
        <v>SPT18DC/P1A4_GGIO2.Alm4</v>
      </c>
      <c r="K86" s="103" t="str">
        <f t="shared" si="34"/>
        <v>18DC</v>
      </c>
      <c r="L86" s="104" t="str">
        <f t="shared" si="35"/>
        <v>GGIO2</v>
      </c>
      <c r="M86" s="104" t="str">
        <f>_xlfn.IFS(OR(E86="Авария=1",E86="Авария=0"),CONCATENATE("Alm",SUM(COUNTIF($M$79:M85,"*Alm*"),1)),OR(E86="Вкл=1",E86="Вкл=0"),CONCATENATE("Ind",SUM(COUNTIF($M$79:M85,"*Ind*"),1)))</f>
        <v>Alm4</v>
      </c>
      <c r="N86" s="82" t="str">
        <f t="shared" si="36"/>
        <v>P1A4_</v>
      </c>
      <c r="O86" s="82"/>
      <c r="P86" s="109" t="s">
        <v>694</v>
      </c>
      <c r="Q86" s="82" t="s">
        <v>210</v>
      </c>
      <c r="R86" s="82"/>
      <c r="S86" s="82">
        <f t="shared" si="30"/>
        <v>24</v>
      </c>
      <c r="T86" s="82" t="str">
        <f t="shared" si="31"/>
        <v>lb_dd24</v>
      </c>
      <c r="U86" s="82">
        <f t="shared" si="32"/>
        <v>2023</v>
      </c>
      <c r="V86" s="82"/>
      <c r="W86" s="82"/>
      <c r="X86" s="82"/>
    </row>
    <row r="87" spans="1:24" x14ac:dyDescent="0.3">
      <c r="A87" s="277"/>
      <c r="B87" s="268"/>
      <c r="C87" s="216" t="s">
        <v>18</v>
      </c>
      <c r="D87" s="105" t="str">
        <f t="shared" si="37"/>
        <v>QSF1.4 Положение</v>
      </c>
      <c r="E87" s="92" t="s">
        <v>207</v>
      </c>
      <c r="F87" s="279"/>
      <c r="G87" s="281"/>
      <c r="H87" s="283"/>
      <c r="I87" s="106">
        <v>4120</v>
      </c>
      <c r="J87" s="107" t="str">
        <f t="shared" si="33"/>
        <v>SPT18DC/P1A4_GGIO2.Ind5</v>
      </c>
      <c r="K87" s="103" t="str">
        <f t="shared" si="34"/>
        <v>18DC</v>
      </c>
      <c r="L87" s="104" t="str">
        <f t="shared" si="35"/>
        <v>GGIO2</v>
      </c>
      <c r="M87" s="104" t="str">
        <f>_xlfn.IFS(OR(E87="Авария=1",E87="Авария=0"),CONCATENATE("Alm",SUM(COUNTIF($M$79:M86,"*Alm*"),1)),OR(E87="Вкл=1",E87="Вкл=0"),CONCATENATE("Ind",SUM(COUNTIF($M$79:M86,"*Ind*"),1)))</f>
        <v>Ind5</v>
      </c>
      <c r="N87" s="82" t="str">
        <f t="shared" si="36"/>
        <v>P1A4_</v>
      </c>
      <c r="O87" s="82"/>
      <c r="P87" s="109" t="s">
        <v>695</v>
      </c>
      <c r="Q87" s="82" t="s">
        <v>209</v>
      </c>
      <c r="R87" s="82"/>
      <c r="S87" s="82">
        <f t="shared" si="30"/>
        <v>25</v>
      </c>
      <c r="T87" s="82" t="str">
        <f t="shared" si="31"/>
        <v>lb_dd25</v>
      </c>
      <c r="U87" s="82">
        <f t="shared" si="32"/>
        <v>2024</v>
      </c>
      <c r="V87" s="82"/>
      <c r="W87" s="82"/>
      <c r="X87" s="82"/>
    </row>
    <row r="88" spans="1:24" x14ac:dyDescent="0.3">
      <c r="A88" s="277"/>
      <c r="B88" s="268"/>
      <c r="C88" s="216" t="s">
        <v>19</v>
      </c>
      <c r="D88" s="105" t="str">
        <f t="shared" si="37"/>
        <v>QSF1.4 Состояние</v>
      </c>
      <c r="E88" s="92" t="s">
        <v>208</v>
      </c>
      <c r="F88" s="279"/>
      <c r="G88" s="281"/>
      <c r="H88" s="283"/>
      <c r="I88" s="106">
        <v>4121</v>
      </c>
      <c r="J88" s="107" t="str">
        <f t="shared" si="33"/>
        <v>SPT18DC/P1A4_GGIO2.Alm5</v>
      </c>
      <c r="K88" s="103" t="str">
        <f t="shared" si="34"/>
        <v>18DC</v>
      </c>
      <c r="L88" s="104" t="str">
        <f t="shared" si="35"/>
        <v>GGIO2</v>
      </c>
      <c r="M88" s="104" t="str">
        <f>_xlfn.IFS(OR(E88="Авария=1",E88="Авария=0"),CONCATENATE("Alm",SUM(COUNTIF($M$79:M87,"*Alm*"),1)),OR(E88="Вкл=1",E88="Вкл=0"),CONCATENATE("Ind",SUM(COUNTIF($M$79:M87,"*Ind*"),1)))</f>
        <v>Alm5</v>
      </c>
      <c r="N88" s="82" t="str">
        <f t="shared" si="36"/>
        <v>P1A4_</v>
      </c>
      <c r="O88" s="82"/>
      <c r="P88" s="109" t="s">
        <v>695</v>
      </c>
      <c r="Q88" s="82" t="s">
        <v>210</v>
      </c>
      <c r="R88" s="82"/>
      <c r="S88" s="82">
        <f t="shared" si="30"/>
        <v>26</v>
      </c>
      <c r="T88" s="82" t="str">
        <f t="shared" si="31"/>
        <v>lb_dd26</v>
      </c>
      <c r="U88" s="82">
        <f t="shared" si="32"/>
        <v>2025</v>
      </c>
      <c r="V88" s="82"/>
      <c r="W88" s="82"/>
      <c r="X88" s="82"/>
    </row>
    <row r="89" spans="1:24" x14ac:dyDescent="0.3">
      <c r="A89" s="277"/>
      <c r="B89" s="268"/>
      <c r="C89" s="216" t="s">
        <v>20</v>
      </c>
      <c r="D89" s="105" t="str">
        <f t="shared" si="37"/>
        <v>QSF1.5 Положение</v>
      </c>
      <c r="E89" s="92" t="s">
        <v>207</v>
      </c>
      <c r="F89" s="279"/>
      <c r="G89" s="281"/>
      <c r="H89" s="283"/>
      <c r="I89" s="106">
        <v>4122</v>
      </c>
      <c r="J89" s="107" t="str">
        <f t="shared" si="33"/>
        <v>SPT18DC/P1A4_GGIO2.Ind6</v>
      </c>
      <c r="K89" s="103" t="str">
        <f t="shared" si="34"/>
        <v>18DC</v>
      </c>
      <c r="L89" s="104" t="str">
        <f t="shared" si="35"/>
        <v>GGIO2</v>
      </c>
      <c r="M89" s="104" t="str">
        <f>_xlfn.IFS(OR(E89="Авария=1",E89="Авария=0"),CONCATENATE("Alm",SUM(COUNTIF($M$79:M88,"*Alm*"),1)),OR(E89="Вкл=1",E89="Вкл=0"),CONCATENATE("Ind",SUM(COUNTIF($M$79:M88,"*Ind*"),1)))</f>
        <v>Ind6</v>
      </c>
      <c r="N89" s="82" t="str">
        <f t="shared" si="36"/>
        <v>P1A4_</v>
      </c>
      <c r="O89" s="82"/>
      <c r="P89" s="109" t="s">
        <v>696</v>
      </c>
      <c r="Q89" s="82" t="s">
        <v>209</v>
      </c>
      <c r="R89" s="82"/>
      <c r="S89" s="82">
        <f t="shared" si="30"/>
        <v>27</v>
      </c>
      <c r="T89" s="82" t="str">
        <f t="shared" si="31"/>
        <v>lb_dd27</v>
      </c>
      <c r="U89" s="82">
        <f t="shared" si="32"/>
        <v>2026</v>
      </c>
      <c r="V89" s="82"/>
      <c r="W89" s="82"/>
      <c r="X89" s="82"/>
    </row>
    <row r="90" spans="1:24" x14ac:dyDescent="0.3">
      <c r="A90" s="277"/>
      <c r="B90" s="268"/>
      <c r="C90" s="216" t="s">
        <v>21</v>
      </c>
      <c r="D90" s="105" t="str">
        <f t="shared" si="37"/>
        <v>QSF1.5 Состояние</v>
      </c>
      <c r="E90" s="92" t="s">
        <v>208</v>
      </c>
      <c r="F90" s="279"/>
      <c r="G90" s="281"/>
      <c r="H90" s="283"/>
      <c r="I90" s="106">
        <v>4123</v>
      </c>
      <c r="J90" s="107" t="str">
        <f t="shared" si="33"/>
        <v>SPT18DC/P1A4_GGIO2.Alm6</v>
      </c>
      <c r="K90" s="103" t="str">
        <f t="shared" si="34"/>
        <v>18DC</v>
      </c>
      <c r="L90" s="104" t="str">
        <f t="shared" si="35"/>
        <v>GGIO2</v>
      </c>
      <c r="M90" s="104" t="str">
        <f>_xlfn.IFS(OR(E90="Авария=1",E90="Авария=0"),CONCATENATE("Alm",SUM(COUNTIF($M$79:M89,"*Alm*"),1)),OR(E90="Вкл=1",E90="Вкл=0"),CONCATENATE("Ind",SUM(COUNTIF($M$79:M89,"*Ind*"),1)))</f>
        <v>Alm6</v>
      </c>
      <c r="N90" s="82" t="str">
        <f t="shared" si="36"/>
        <v>P1A4_</v>
      </c>
      <c r="O90" s="82"/>
      <c r="P90" s="109" t="s">
        <v>696</v>
      </c>
      <c r="Q90" s="82" t="s">
        <v>210</v>
      </c>
      <c r="R90" s="82"/>
      <c r="S90" s="82">
        <f t="shared" si="30"/>
        <v>28</v>
      </c>
      <c r="T90" s="82" t="str">
        <f t="shared" si="31"/>
        <v>lb_dd28</v>
      </c>
      <c r="U90" s="82">
        <f t="shared" si="32"/>
        <v>2027</v>
      </c>
      <c r="V90" s="82"/>
      <c r="W90" s="82"/>
      <c r="X90" s="82"/>
    </row>
    <row r="91" spans="1:24" x14ac:dyDescent="0.3">
      <c r="A91" s="277"/>
      <c r="B91" s="268"/>
      <c r="C91" s="216" t="s">
        <v>22</v>
      </c>
      <c r="D91" s="105" t="str">
        <f t="shared" si="37"/>
        <v>QSF1-2 Положение</v>
      </c>
      <c r="E91" s="92" t="s">
        <v>207</v>
      </c>
      <c r="F91" s="279"/>
      <c r="G91" s="281"/>
      <c r="H91" s="283"/>
      <c r="I91" s="106">
        <v>4124</v>
      </c>
      <c r="J91" s="107" t="str">
        <f t="shared" si="33"/>
        <v>SPT18DC/P1A4_GGIO2.Ind7</v>
      </c>
      <c r="K91" s="103" t="str">
        <f t="shared" si="34"/>
        <v>18DC</v>
      </c>
      <c r="L91" s="104" t="str">
        <f t="shared" si="35"/>
        <v>GGIO2</v>
      </c>
      <c r="M91" s="104" t="str">
        <f>_xlfn.IFS(OR(E91="Авария=1",E91="Авария=0"),CONCATENATE("Alm",SUM(COUNTIF($M$79:M90,"*Alm*"),1)),OR(E91="Вкл=1",E91="Вкл=0"),CONCATENATE("Ind",SUM(COUNTIF($M$79:M90,"*Ind*"),1)))</f>
        <v>Ind7</v>
      </c>
      <c r="N91" s="82" t="str">
        <f t="shared" si="36"/>
        <v>P1A4_</v>
      </c>
      <c r="O91" s="82"/>
      <c r="P91" s="109" t="s">
        <v>691</v>
      </c>
      <c r="Q91" s="82" t="s">
        <v>209</v>
      </c>
      <c r="R91" s="82"/>
      <c r="S91" s="82">
        <f t="shared" si="30"/>
        <v>29</v>
      </c>
      <c r="T91" s="82" t="str">
        <f t="shared" si="31"/>
        <v>lb_dd29</v>
      </c>
      <c r="U91" s="82">
        <f t="shared" si="32"/>
        <v>2028</v>
      </c>
      <c r="V91" s="82"/>
      <c r="W91" s="82"/>
      <c r="X91" s="82"/>
    </row>
    <row r="92" spans="1:24" x14ac:dyDescent="0.3">
      <c r="A92" s="277"/>
      <c r="B92" s="268"/>
      <c r="C92" s="216" t="s">
        <v>23</v>
      </c>
      <c r="D92" s="105" t="str">
        <f t="shared" si="37"/>
        <v>QSF1-2 Состояние</v>
      </c>
      <c r="E92" s="92" t="s">
        <v>208</v>
      </c>
      <c r="F92" s="279"/>
      <c r="G92" s="281"/>
      <c r="H92" s="283"/>
      <c r="I92" s="106">
        <v>4125</v>
      </c>
      <c r="J92" s="107" t="str">
        <f t="shared" si="33"/>
        <v>SPT18DC/P1A4_GGIO2.Alm7</v>
      </c>
      <c r="K92" s="103" t="str">
        <f t="shared" si="34"/>
        <v>18DC</v>
      </c>
      <c r="L92" s="104" t="str">
        <f t="shared" si="35"/>
        <v>GGIO2</v>
      </c>
      <c r="M92" s="104" t="str">
        <f>_xlfn.IFS(OR(E92="Авария=1",E92="Авария=0"),CONCATENATE("Alm",SUM(COUNTIF($M$79:M91,"*Alm*"),1)),OR(E92="Вкл=1",E92="Вкл=0"),CONCATENATE("Ind",SUM(COUNTIF($M$79:M91,"*Ind*"),1)))</f>
        <v>Alm7</v>
      </c>
      <c r="N92" s="82" t="str">
        <f t="shared" si="36"/>
        <v>P1A4_</v>
      </c>
      <c r="O92" s="82"/>
      <c r="P92" s="109" t="s">
        <v>691</v>
      </c>
      <c r="Q92" s="82" t="s">
        <v>210</v>
      </c>
      <c r="R92" s="82"/>
      <c r="S92" s="82">
        <f t="shared" si="30"/>
        <v>30</v>
      </c>
      <c r="T92" s="82" t="str">
        <f t="shared" si="31"/>
        <v>lb_dd30</v>
      </c>
      <c r="U92" s="82">
        <f t="shared" si="32"/>
        <v>2029</v>
      </c>
      <c r="V92" s="82"/>
      <c r="W92" s="82"/>
      <c r="X92" s="82"/>
    </row>
    <row r="93" spans="1:24" x14ac:dyDescent="0.3">
      <c r="A93" s="277"/>
      <c r="B93" s="268"/>
      <c r="C93" s="216" t="s">
        <v>24</v>
      </c>
      <c r="D93" s="420" t="str">
        <f>CONCATENATE("QS",P93," ",Q93)</f>
        <v>QS1 Положение</v>
      </c>
      <c r="E93" s="92" t="s">
        <v>207</v>
      </c>
      <c r="F93" s="279"/>
      <c r="G93" s="281"/>
      <c r="H93" s="283"/>
      <c r="I93" s="106">
        <v>4126</v>
      </c>
      <c r="J93" s="107" t="str">
        <f t="shared" si="33"/>
        <v>SPT18DC/P1A4_GGIO2.Ind8</v>
      </c>
      <c r="K93" s="103" t="str">
        <f t="shared" si="34"/>
        <v>18DC</v>
      </c>
      <c r="L93" s="104" t="str">
        <f t="shared" si="35"/>
        <v>GGIO2</v>
      </c>
      <c r="M93" s="104" t="str">
        <f>_xlfn.IFS(OR(E93="Авария=1",E93="Авария=0"),CONCATENATE("Alm",SUM(COUNTIF($M$79:M92,"*Alm*"),1)),OR(E93="Вкл=1",E93="Вкл=0"),CONCATENATE("Ind",SUM(COUNTIF($M$79:M92,"*Ind*"),1)))</f>
        <v>Ind8</v>
      </c>
      <c r="N93" s="82" t="str">
        <f t="shared" si="36"/>
        <v>P1A4_</v>
      </c>
      <c r="O93" s="82"/>
      <c r="P93" s="109" t="s">
        <v>8</v>
      </c>
      <c r="Q93" s="82" t="s">
        <v>209</v>
      </c>
      <c r="R93" s="82"/>
      <c r="S93" s="82">
        <f t="shared" si="30"/>
        <v>31</v>
      </c>
      <c r="T93" s="82" t="str">
        <f t="shared" si="31"/>
        <v>lb_dd31</v>
      </c>
      <c r="U93" s="82">
        <f t="shared" si="32"/>
        <v>2030</v>
      </c>
      <c r="V93" s="82"/>
      <c r="W93" s="82"/>
      <c r="X93" s="82"/>
    </row>
    <row r="94" spans="1:24" x14ac:dyDescent="0.3">
      <c r="A94" s="277"/>
      <c r="B94" s="268"/>
      <c r="C94" s="216" t="s">
        <v>25</v>
      </c>
      <c r="D94" s="420" t="str">
        <f>CONCATENATE("QS",P94," ",Q94)</f>
        <v>QS1 Состояние</v>
      </c>
      <c r="E94" s="92" t="s">
        <v>208</v>
      </c>
      <c r="F94" s="280"/>
      <c r="G94" s="281"/>
      <c r="H94" s="284"/>
      <c r="I94" s="106">
        <v>4127</v>
      </c>
      <c r="J94" s="107" t="str">
        <f t="shared" si="33"/>
        <v>SPT18DC/P1A4_GGIO2.Alm8</v>
      </c>
      <c r="K94" s="103" t="str">
        <f t="shared" si="34"/>
        <v>18DC</v>
      </c>
      <c r="L94" s="104" t="str">
        <f t="shared" si="35"/>
        <v>GGIO2</v>
      </c>
      <c r="M94" s="104" t="str">
        <f>_xlfn.IFS(OR(E94="Авария=1",E94="Авария=0"),CONCATENATE("Alm",SUM(COUNTIF($M$79:M93,"*Alm*"),1)),OR(E94="Вкл=1",E94="Вкл=0"),CONCATENATE("Ind",SUM(COUNTIF($M$79:M93,"*Ind*"),1)))</f>
        <v>Alm8</v>
      </c>
      <c r="N94" s="82" t="str">
        <f t="shared" si="36"/>
        <v>P1A4_</v>
      </c>
      <c r="O94" s="82"/>
      <c r="P94" s="109" t="s">
        <v>8</v>
      </c>
      <c r="Q94" s="82" t="s">
        <v>210</v>
      </c>
      <c r="R94" s="82"/>
      <c r="S94" s="82">
        <f t="shared" si="30"/>
        <v>32</v>
      </c>
      <c r="T94" s="82" t="str">
        <f t="shared" si="31"/>
        <v>lb_dd32</v>
      </c>
      <c r="U94" s="82">
        <f t="shared" si="32"/>
        <v>2031</v>
      </c>
      <c r="V94" s="82"/>
      <c r="W94" s="82"/>
      <c r="X94" s="82"/>
    </row>
    <row r="95" spans="1:24" x14ac:dyDescent="0.3">
      <c r="A95" s="290"/>
      <c r="B95" s="290"/>
      <c r="C95" s="290"/>
      <c r="D95" s="290"/>
      <c r="E95" s="290"/>
      <c r="F95" s="290"/>
      <c r="G95" s="290"/>
      <c r="H95" s="290"/>
      <c r="I95" s="290"/>
      <c r="J95" s="290"/>
      <c r="K95" s="103"/>
      <c r="L95" s="104"/>
      <c r="M95" s="82"/>
      <c r="N95" s="82"/>
      <c r="O95" s="82"/>
      <c r="P95" s="98"/>
      <c r="Q95" s="82"/>
      <c r="R95" s="82"/>
      <c r="S95" s="82"/>
      <c r="T95" s="82"/>
      <c r="U95" s="82"/>
      <c r="V95" s="82"/>
      <c r="W95" s="82"/>
      <c r="X95" s="82"/>
    </row>
    <row r="96" spans="1:24" x14ac:dyDescent="0.3">
      <c r="A96" s="310" t="s">
        <v>675</v>
      </c>
      <c r="B96" s="311"/>
      <c r="C96" s="311"/>
      <c r="D96" s="311"/>
      <c r="E96" s="311"/>
      <c r="F96" s="311"/>
      <c r="G96" s="311"/>
      <c r="H96" s="311"/>
      <c r="I96" s="311"/>
      <c r="J96" s="312"/>
      <c r="K96" s="103"/>
      <c r="L96" s="104"/>
      <c r="M96" s="82"/>
      <c r="N96" s="82"/>
      <c r="O96" s="82"/>
      <c r="P96" s="98"/>
      <c r="Q96" s="82"/>
      <c r="R96" s="82"/>
      <c r="S96" s="82"/>
      <c r="T96" s="82"/>
      <c r="U96" s="82"/>
      <c r="V96" s="82"/>
      <c r="W96" s="82"/>
      <c r="X96" s="82"/>
    </row>
    <row r="97" spans="1:24" x14ac:dyDescent="0.3">
      <c r="A97" s="277">
        <v>18</v>
      </c>
      <c r="B97" s="268" t="s">
        <v>7</v>
      </c>
      <c r="C97" s="422" t="s">
        <v>8</v>
      </c>
      <c r="D97" s="87" t="s">
        <v>697</v>
      </c>
      <c r="E97" s="92" t="s">
        <v>208</v>
      </c>
      <c r="F97" s="423" t="s">
        <v>28</v>
      </c>
      <c r="G97" s="281" t="s">
        <v>353</v>
      </c>
      <c r="H97" s="282" t="s">
        <v>59</v>
      </c>
      <c r="I97" s="106">
        <v>4096</v>
      </c>
      <c r="J97" s="107" t="str">
        <f>IF(OR(D97="",D97="-"),"-",CONCATENATE("SPT",K97,"/",N97,L97,".",M97))</f>
        <v>SPT18DC/PA6_3_GGIO29.Alm1</v>
      </c>
      <c r="K97" s="177" t="s">
        <v>791</v>
      </c>
      <c r="L97" s="178" t="s">
        <v>528</v>
      </c>
      <c r="M97" s="163" t="s">
        <v>37</v>
      </c>
      <c r="N97" s="179" t="s">
        <v>527</v>
      </c>
      <c r="O97" s="82"/>
      <c r="P97" s="98"/>
      <c r="Q97" s="82" t="s">
        <v>262</v>
      </c>
      <c r="R97" s="82"/>
      <c r="S97" s="82"/>
      <c r="T97" s="82"/>
      <c r="U97" s="82"/>
      <c r="V97" s="82"/>
      <c r="W97" s="82"/>
      <c r="X97" s="82"/>
    </row>
    <row r="98" spans="1:24" x14ac:dyDescent="0.3">
      <c r="A98" s="277"/>
      <c r="B98" s="268"/>
      <c r="C98" s="422">
        <f>C97+1</f>
        <v>2</v>
      </c>
      <c r="D98" s="87" t="s">
        <v>263</v>
      </c>
      <c r="E98" s="92" t="s">
        <v>207</v>
      </c>
      <c r="F98" s="424"/>
      <c r="G98" s="281"/>
      <c r="H98" s="283"/>
      <c r="I98" s="106">
        <f>I97+1</f>
        <v>4097</v>
      </c>
      <c r="J98" s="107" t="str">
        <f t="shared" ref="J98:J128" si="38">IF(OR(D98="",D98="-"),"-",CONCATENATE("SPT",K98,"/",N98,L98,".",M98))</f>
        <v>SPT18DC/PA6_3_GGIO29.Ind1</v>
      </c>
      <c r="K98" s="103" t="str">
        <f>K97</f>
        <v>18DC</v>
      </c>
      <c r="L98" s="104" t="str">
        <f>L97</f>
        <v>GGIO29</v>
      </c>
      <c r="M98" s="163" t="s">
        <v>36</v>
      </c>
      <c r="N98" s="82" t="str">
        <f>N97</f>
        <v>PA6_3_</v>
      </c>
      <c r="O98" s="82"/>
      <c r="P98" s="98"/>
      <c r="Q98" s="82" t="s">
        <v>263</v>
      </c>
      <c r="R98" s="82"/>
      <c r="S98" s="82"/>
      <c r="T98" s="82"/>
      <c r="U98" s="82"/>
      <c r="V98" s="82"/>
      <c r="W98" s="82"/>
      <c r="X98" s="82"/>
    </row>
    <row r="99" spans="1:24" x14ac:dyDescent="0.3">
      <c r="A99" s="277"/>
      <c r="B99" s="268"/>
      <c r="C99" s="422">
        <f t="shared" ref="C99:C127" si="39">C98+1</f>
        <v>3</v>
      </c>
      <c r="D99" s="87" t="s">
        <v>698</v>
      </c>
      <c r="E99" s="92" t="s">
        <v>208</v>
      </c>
      <c r="F99" s="424"/>
      <c r="G99" s="281"/>
      <c r="H99" s="283"/>
      <c r="I99" s="106">
        <f t="shared" ref="I99:I114" si="40">I98+1</f>
        <v>4098</v>
      </c>
      <c r="J99" s="107" t="str">
        <f t="shared" si="38"/>
        <v>SPT18DC/PA6_3_GGIO29.Alm2</v>
      </c>
      <c r="K99" s="103" t="str">
        <f t="shared" ref="K99:L114" si="41">K98</f>
        <v>18DC</v>
      </c>
      <c r="L99" s="104" t="str">
        <f t="shared" si="41"/>
        <v>GGIO29</v>
      </c>
      <c r="M99" s="163" t="str">
        <f>_xlfn.IFS(OR(E99="Авария=1",E99="Авария=0"),CONCATENATE("Alm",SUM(COUNTIF($M$97:M98,"*Alm*"),1)),OR(E99="Вкл=1",E99="Вкл=0"),CONCATENATE("Ind",SUM(COUNTIF($M$97:M98,"*Ind*"),1)))</f>
        <v>Alm2</v>
      </c>
      <c r="N99" s="82" t="str">
        <f t="shared" ref="N99:N128" si="42">N98</f>
        <v>PA6_3_</v>
      </c>
      <c r="O99" s="82"/>
      <c r="P99" s="98"/>
      <c r="Q99" s="82" t="s">
        <v>457</v>
      </c>
      <c r="R99" s="82"/>
      <c r="S99" s="82"/>
      <c r="T99" s="82"/>
      <c r="U99" s="82"/>
      <c r="V99" s="82"/>
      <c r="W99" s="82"/>
      <c r="X99" s="82"/>
    </row>
    <row r="100" spans="1:24" x14ac:dyDescent="0.3">
      <c r="A100" s="277"/>
      <c r="B100" s="268"/>
      <c r="C100" s="422">
        <f t="shared" si="39"/>
        <v>4</v>
      </c>
      <c r="D100" s="87" t="s">
        <v>700</v>
      </c>
      <c r="E100" s="92" t="s">
        <v>208</v>
      </c>
      <c r="F100" s="424"/>
      <c r="G100" s="281"/>
      <c r="H100" s="283"/>
      <c r="I100" s="106">
        <f t="shared" si="40"/>
        <v>4099</v>
      </c>
      <c r="J100" s="107" t="str">
        <f t="shared" si="38"/>
        <v>SPT18DC/PA6_3_GGIO29.Alm3</v>
      </c>
      <c r="K100" s="103" t="str">
        <f t="shared" si="41"/>
        <v>18DC</v>
      </c>
      <c r="L100" s="104" t="str">
        <f t="shared" si="41"/>
        <v>GGIO29</v>
      </c>
      <c r="M100" s="163" t="str">
        <f>_xlfn.IFS(OR(E100="Авария=1",E100="Авария=0"),CONCATENATE("Alm",SUM(COUNTIF($M$97:M99,"*Alm*"),1)),OR(E100="Вкл=1",E100="Вкл=0"),CONCATENATE("Ind",SUM(COUNTIF($M$97:M99,"*Ind*"),1)))</f>
        <v>Alm3</v>
      </c>
      <c r="N100" s="82" t="str">
        <f t="shared" si="42"/>
        <v>PA6_3_</v>
      </c>
      <c r="O100" s="82"/>
      <c r="P100" s="98"/>
      <c r="Q100" s="82" t="s">
        <v>264</v>
      </c>
      <c r="R100" s="82"/>
      <c r="S100" s="82"/>
      <c r="T100" s="82"/>
      <c r="U100" s="82"/>
      <c r="V100" s="82"/>
      <c r="X100" s="82"/>
    </row>
    <row r="101" spans="1:24" x14ac:dyDescent="0.3">
      <c r="A101" s="277"/>
      <c r="B101" s="268"/>
      <c r="C101" s="422">
        <f t="shared" si="39"/>
        <v>5</v>
      </c>
      <c r="D101" s="87" t="s">
        <v>701</v>
      </c>
      <c r="E101" s="92" t="s">
        <v>208</v>
      </c>
      <c r="F101" s="424"/>
      <c r="G101" s="281"/>
      <c r="H101" s="283"/>
      <c r="I101" s="106">
        <f t="shared" si="40"/>
        <v>4100</v>
      </c>
      <c r="J101" s="107" t="str">
        <f t="shared" si="38"/>
        <v>SPT18DC/PA6_3_GGIO29.Alm4</v>
      </c>
      <c r="K101" s="103" t="str">
        <f t="shared" si="41"/>
        <v>18DC</v>
      </c>
      <c r="L101" s="104" t="str">
        <f t="shared" si="41"/>
        <v>GGIO29</v>
      </c>
      <c r="M101" s="163" t="str">
        <f>_xlfn.IFS(OR(E101="Авария=1",E101="Авария=0"),CONCATENATE("Alm",SUM(COUNTIF($M$97:M100,"*Alm*"),1)),OR(E101="Вкл=1",E101="Вкл=0"),CONCATENATE("Ind",SUM(COUNTIF($M$97:M100,"*Ind*"),1)))</f>
        <v>Alm4</v>
      </c>
      <c r="N101" s="82" t="str">
        <f t="shared" si="42"/>
        <v>PA6_3_</v>
      </c>
      <c r="O101" s="82"/>
      <c r="P101" s="98"/>
      <c r="Q101" s="82" t="s">
        <v>458</v>
      </c>
      <c r="R101" s="82"/>
      <c r="S101" s="82"/>
      <c r="T101" s="82"/>
      <c r="U101" s="82"/>
      <c r="V101" s="82"/>
      <c r="X101" s="82"/>
    </row>
    <row r="102" spans="1:24" x14ac:dyDescent="0.3">
      <c r="A102" s="277"/>
      <c r="B102" s="268"/>
      <c r="C102" s="422">
        <f t="shared" si="39"/>
        <v>6</v>
      </c>
      <c r="D102" s="87" t="s">
        <v>699</v>
      </c>
      <c r="E102" s="92" t="s">
        <v>208</v>
      </c>
      <c r="F102" s="424"/>
      <c r="G102" s="281"/>
      <c r="H102" s="283"/>
      <c r="I102" s="106">
        <f t="shared" si="40"/>
        <v>4101</v>
      </c>
      <c r="J102" s="107" t="str">
        <f t="shared" si="38"/>
        <v>SPT18DC/PA6_3_GGIO29.Alm5</v>
      </c>
      <c r="K102" s="103" t="str">
        <f t="shared" si="41"/>
        <v>18DC</v>
      </c>
      <c r="L102" s="104" t="str">
        <f t="shared" si="41"/>
        <v>GGIO29</v>
      </c>
      <c r="M102" s="163" t="str">
        <f>_xlfn.IFS(OR(E102="Авария=1",E102="Авария=0"),CONCATENATE("Alm",SUM(COUNTIF($M$97:M101,"*Alm*"),1)),OR(E102="Вкл=1",E102="Вкл=0"),CONCATENATE("Ind",SUM(COUNTIF($M$97:M101,"*Ind*"),1)))</f>
        <v>Alm5</v>
      </c>
      <c r="N102" s="82" t="str">
        <f t="shared" si="42"/>
        <v>PA6_3_</v>
      </c>
      <c r="O102" s="82"/>
      <c r="P102" s="98"/>
      <c r="Q102" s="82"/>
      <c r="R102" s="82"/>
      <c r="S102" s="82"/>
      <c r="T102" s="82"/>
      <c r="U102" s="82"/>
      <c r="V102" s="82"/>
      <c r="W102" s="82"/>
      <c r="X102" s="82">
        <f>COUNTIF(W100:W101,"*alm*")</f>
        <v>0</v>
      </c>
    </row>
    <row r="103" spans="1:24" x14ac:dyDescent="0.3">
      <c r="A103" s="277"/>
      <c r="B103" s="268"/>
      <c r="C103" s="422">
        <f t="shared" si="39"/>
        <v>7</v>
      </c>
      <c r="D103" s="87" t="s">
        <v>702</v>
      </c>
      <c r="E103" s="92" t="s">
        <v>208</v>
      </c>
      <c r="F103" s="424"/>
      <c r="G103" s="281"/>
      <c r="H103" s="283"/>
      <c r="I103" s="106">
        <f t="shared" si="40"/>
        <v>4102</v>
      </c>
      <c r="J103" s="107" t="str">
        <f t="shared" si="38"/>
        <v>SPT18DC/PA6_3_GGIO29.Alm6</v>
      </c>
      <c r="K103" s="103" t="str">
        <f t="shared" si="41"/>
        <v>18DC</v>
      </c>
      <c r="L103" s="104" t="str">
        <f t="shared" si="41"/>
        <v>GGIO29</v>
      </c>
      <c r="M103" s="163" t="str">
        <f>_xlfn.IFS(OR(E103="Авария=1",E103="Авария=0"),CONCATENATE("Alm",SUM(COUNTIF($M$97:M102,"*Alm*"),1)),OR(E103="Вкл=1",E103="Вкл=0"),CONCATENATE("Ind",SUM(COUNTIF($M$97:M102,"*Ind*"),1)))</f>
        <v>Alm6</v>
      </c>
      <c r="N103" s="82" t="str">
        <f t="shared" si="42"/>
        <v>PA6_3_</v>
      </c>
      <c r="O103" s="82"/>
      <c r="P103" s="98"/>
      <c r="Q103" s="82"/>
      <c r="R103" s="82"/>
      <c r="S103" s="82"/>
      <c r="T103" s="82"/>
      <c r="U103" s="82"/>
      <c r="V103" s="82"/>
      <c r="W103" s="82"/>
      <c r="X103" s="82"/>
    </row>
    <row r="104" spans="1:24" x14ac:dyDescent="0.3">
      <c r="A104" s="277"/>
      <c r="B104" s="268"/>
      <c r="C104" s="422">
        <f t="shared" si="39"/>
        <v>8</v>
      </c>
      <c r="D104" s="87" t="s">
        <v>703</v>
      </c>
      <c r="E104" s="92" t="s">
        <v>208</v>
      </c>
      <c r="F104" s="424"/>
      <c r="G104" s="281"/>
      <c r="H104" s="283"/>
      <c r="I104" s="106">
        <f t="shared" si="40"/>
        <v>4103</v>
      </c>
      <c r="J104" s="107" t="str">
        <f t="shared" si="38"/>
        <v>SPT18DC/PA6_3_GGIO29.Alm7</v>
      </c>
      <c r="K104" s="103" t="str">
        <f t="shared" si="41"/>
        <v>18DC</v>
      </c>
      <c r="L104" s="104" t="str">
        <f t="shared" si="41"/>
        <v>GGIO29</v>
      </c>
      <c r="M104" s="163" t="str">
        <f>_xlfn.IFS(OR(E104="Авария=1",E104="Авария=0"),CONCATENATE("Alm",SUM(COUNTIF($M$97:M103,"*Alm*"),1)),OR(E104="Вкл=1",E104="Вкл=0"),CONCATENATE("Ind",SUM(COUNTIF($M$97:M103,"*Ind*"),1)))</f>
        <v>Alm7</v>
      </c>
      <c r="N104" s="82" t="str">
        <f t="shared" si="42"/>
        <v>PA6_3_</v>
      </c>
      <c r="O104" s="82"/>
      <c r="P104" s="98"/>
      <c r="Q104" s="82"/>
      <c r="R104" s="82"/>
      <c r="S104" s="82"/>
      <c r="T104" s="82"/>
      <c r="U104" s="82"/>
      <c r="V104" s="82"/>
      <c r="W104" s="82"/>
      <c r="X104" s="82"/>
    </row>
    <row r="105" spans="1:24" x14ac:dyDescent="0.3">
      <c r="A105" s="277"/>
      <c r="B105" s="268"/>
      <c r="C105" s="422">
        <f t="shared" si="39"/>
        <v>9</v>
      </c>
      <c r="D105" s="87" t="s">
        <v>704</v>
      </c>
      <c r="E105" s="92" t="s">
        <v>208</v>
      </c>
      <c r="F105" s="424"/>
      <c r="G105" s="281"/>
      <c r="H105" s="283"/>
      <c r="I105" s="106">
        <f t="shared" si="40"/>
        <v>4104</v>
      </c>
      <c r="J105" s="107" t="str">
        <f t="shared" si="38"/>
        <v>SPT18DC/PA6_3_GGIO29.Alm8</v>
      </c>
      <c r="K105" s="103" t="str">
        <f t="shared" si="41"/>
        <v>18DC</v>
      </c>
      <c r="L105" s="104" t="str">
        <f t="shared" si="41"/>
        <v>GGIO29</v>
      </c>
      <c r="M105" s="163" t="str">
        <f>_xlfn.IFS(OR(E105="Авария=1",E105="Авария=0"),CONCATENATE("Alm",SUM(COUNTIF($M$97:M104,"*Alm*"),1)),OR(E105="Вкл=1",E105="Вкл=0"),CONCATENATE("Ind",SUM(COUNTIF($M$97:M104,"*Ind*"),1)))</f>
        <v>Alm8</v>
      </c>
      <c r="N105" s="82" t="str">
        <f t="shared" si="42"/>
        <v>PA6_3_</v>
      </c>
      <c r="O105" s="82"/>
      <c r="P105" s="98"/>
      <c r="Q105" s="82"/>
      <c r="R105" s="82"/>
      <c r="S105" s="82"/>
      <c r="T105" s="82"/>
      <c r="U105" s="82"/>
      <c r="V105" s="82"/>
      <c r="W105" s="82"/>
      <c r="X105" s="82"/>
    </row>
    <row r="106" spans="1:24" x14ac:dyDescent="0.3">
      <c r="A106" s="277"/>
      <c r="B106" s="268"/>
      <c r="C106" s="422">
        <f t="shared" si="39"/>
        <v>10</v>
      </c>
      <c r="D106" s="87" t="s">
        <v>705</v>
      </c>
      <c r="E106" s="92" t="s">
        <v>207</v>
      </c>
      <c r="F106" s="424"/>
      <c r="G106" s="281"/>
      <c r="H106" s="283"/>
      <c r="I106" s="106">
        <f t="shared" si="40"/>
        <v>4105</v>
      </c>
      <c r="J106" s="107" t="str">
        <f t="shared" si="38"/>
        <v>SPT18DC/PA6_3_GGIO29.Ind2</v>
      </c>
      <c r="K106" s="103" t="str">
        <f t="shared" si="41"/>
        <v>18DC</v>
      </c>
      <c r="L106" s="104" t="str">
        <f t="shared" si="41"/>
        <v>GGIO29</v>
      </c>
      <c r="M106" s="163" t="str">
        <f>_xlfn.IFS(OR(E106="Авария=1",E106="Авария=0"),CONCATENATE("Alm",SUM(COUNTIF($M$97:M105,"*Alm*"),1)),OR(E106="Вкл=1",E106="Вкл=0"),CONCATENATE("Ind",SUM(COUNTIF($M$97:M105,"*Ind*"),1)))</f>
        <v>Ind2</v>
      </c>
      <c r="N106" s="82" t="str">
        <f t="shared" si="42"/>
        <v>PA6_3_</v>
      </c>
      <c r="O106" s="82"/>
      <c r="P106" s="98"/>
      <c r="Q106" s="82"/>
      <c r="R106" s="82"/>
      <c r="S106" s="82"/>
      <c r="T106" s="82"/>
      <c r="U106" s="82"/>
      <c r="V106" s="82"/>
      <c r="W106" s="82"/>
      <c r="X106" s="82"/>
    </row>
    <row r="107" spans="1:24" x14ac:dyDescent="0.3">
      <c r="A107" s="277"/>
      <c r="B107" s="268"/>
      <c r="C107" s="422">
        <f t="shared" si="39"/>
        <v>11</v>
      </c>
      <c r="D107" s="87" t="s">
        <v>706</v>
      </c>
      <c r="E107" s="92" t="s">
        <v>208</v>
      </c>
      <c r="F107" s="424"/>
      <c r="G107" s="281"/>
      <c r="H107" s="283"/>
      <c r="I107" s="106">
        <f t="shared" si="40"/>
        <v>4106</v>
      </c>
      <c r="J107" s="107" t="str">
        <f t="shared" si="38"/>
        <v>SPT18DC/PA6_3_GGIO29.Alm9</v>
      </c>
      <c r="K107" s="103" t="str">
        <f t="shared" si="41"/>
        <v>18DC</v>
      </c>
      <c r="L107" s="104" t="str">
        <f t="shared" si="41"/>
        <v>GGIO29</v>
      </c>
      <c r="M107" s="163" t="str">
        <f>_xlfn.IFS(OR(E107="Авария=1",E107="Авария=0"),CONCATENATE("Alm",SUM(COUNTIF($M$97:M106,"*Alm*"),1)),OR(E107="Вкл=1",E107="Вкл=0"),CONCATENATE("Ind",SUM(COUNTIF($M$97:M106,"*Ind*"),1)))</f>
        <v>Alm9</v>
      </c>
      <c r="N107" s="82" t="str">
        <f t="shared" si="42"/>
        <v>PA6_3_</v>
      </c>
      <c r="O107" s="82"/>
      <c r="P107" s="98"/>
      <c r="Q107" s="82"/>
      <c r="R107" s="82"/>
      <c r="S107" s="82"/>
      <c r="T107" s="82"/>
      <c r="U107" s="82"/>
      <c r="V107" s="82"/>
      <c r="W107" s="82"/>
      <c r="X107" s="82"/>
    </row>
    <row r="108" spans="1:24" x14ac:dyDescent="0.3">
      <c r="A108" s="277"/>
      <c r="B108" s="268"/>
      <c r="C108" s="422">
        <f t="shared" si="39"/>
        <v>12</v>
      </c>
      <c r="D108" s="87" t="s">
        <v>707</v>
      </c>
      <c r="E108" s="92" t="s">
        <v>208</v>
      </c>
      <c r="F108" s="424"/>
      <c r="G108" s="281"/>
      <c r="H108" s="283"/>
      <c r="I108" s="106">
        <f t="shared" si="40"/>
        <v>4107</v>
      </c>
      <c r="J108" s="107" t="str">
        <f t="shared" si="38"/>
        <v>SPT18DC/PA6_3_GGIO29.Alm10</v>
      </c>
      <c r="K108" s="103" t="str">
        <f t="shared" si="41"/>
        <v>18DC</v>
      </c>
      <c r="L108" s="104" t="str">
        <f t="shared" si="41"/>
        <v>GGIO29</v>
      </c>
      <c r="M108" s="163" t="str">
        <f>_xlfn.IFS(OR(E108="Авария=1",E108="Авария=0"),CONCATENATE("Alm",SUM(COUNTIF($M$97:M107,"*Alm*"),1)),OR(E108="Вкл=1",E108="Вкл=0"),CONCATENATE("Ind",SUM(COUNTIF($M$97:M107,"*Ind*"),1)))</f>
        <v>Alm10</v>
      </c>
      <c r="N108" s="82" t="str">
        <f t="shared" si="42"/>
        <v>PA6_3_</v>
      </c>
      <c r="O108" s="82"/>
      <c r="P108" s="98"/>
      <c r="Q108" s="82"/>
      <c r="R108" s="82"/>
      <c r="S108" s="82"/>
      <c r="T108" s="82"/>
      <c r="U108" s="82"/>
      <c r="V108" s="82"/>
      <c r="W108" s="82"/>
      <c r="X108" s="82"/>
    </row>
    <row r="109" spans="1:24" x14ac:dyDescent="0.3">
      <c r="A109" s="277"/>
      <c r="B109" s="268"/>
      <c r="C109" s="422">
        <f t="shared" si="39"/>
        <v>13</v>
      </c>
      <c r="D109" s="87" t="s">
        <v>708</v>
      </c>
      <c r="E109" s="92" t="s">
        <v>208</v>
      </c>
      <c r="F109" s="424"/>
      <c r="G109" s="281"/>
      <c r="H109" s="283"/>
      <c r="I109" s="106">
        <f t="shared" si="40"/>
        <v>4108</v>
      </c>
      <c r="J109" s="107" t="str">
        <f t="shared" si="38"/>
        <v>SPT18DC/PA6_3_GGIO29.Alm11</v>
      </c>
      <c r="K109" s="103" t="str">
        <f t="shared" si="41"/>
        <v>18DC</v>
      </c>
      <c r="L109" s="104" t="str">
        <f t="shared" si="41"/>
        <v>GGIO29</v>
      </c>
      <c r="M109" s="163" t="str">
        <f>_xlfn.IFS(OR(E109="Авария=1",E109="Авария=0"),CONCATENATE("Alm",SUM(COUNTIF($M$97:M108,"*Alm*"),1)),OR(E109="Вкл=1",E109="Вкл=0"),CONCATENATE("Ind",SUM(COUNTIF($M$97:M108,"*Ind*"),1)))</f>
        <v>Alm11</v>
      </c>
      <c r="N109" s="82" t="str">
        <f t="shared" si="42"/>
        <v>PA6_3_</v>
      </c>
      <c r="O109" s="82"/>
      <c r="P109" s="98"/>
      <c r="Q109" s="82"/>
      <c r="R109" s="82"/>
      <c r="S109" s="82"/>
      <c r="T109" s="82"/>
      <c r="U109" s="82"/>
      <c r="V109" s="82"/>
      <c r="W109" s="82"/>
      <c r="X109" s="82"/>
    </row>
    <row r="110" spans="1:24" x14ac:dyDescent="0.3">
      <c r="A110" s="277"/>
      <c r="B110" s="268"/>
      <c r="C110" s="422">
        <f t="shared" si="39"/>
        <v>14</v>
      </c>
      <c r="D110" s="87" t="s">
        <v>709</v>
      </c>
      <c r="E110" s="92" t="s">
        <v>208</v>
      </c>
      <c r="F110" s="424"/>
      <c r="G110" s="281"/>
      <c r="H110" s="283"/>
      <c r="I110" s="106">
        <f t="shared" si="40"/>
        <v>4109</v>
      </c>
      <c r="J110" s="107" t="str">
        <f t="shared" si="38"/>
        <v>SPT18DC/PA6_3_GGIO29.Alm12</v>
      </c>
      <c r="K110" s="103" t="str">
        <f t="shared" si="41"/>
        <v>18DC</v>
      </c>
      <c r="L110" s="104" t="str">
        <f t="shared" si="41"/>
        <v>GGIO29</v>
      </c>
      <c r="M110" s="163" t="str">
        <f>_xlfn.IFS(OR(E110="Авария=1",E110="Авария=0"),CONCATENATE("Alm",SUM(COUNTIF($M$97:M109,"*Alm*"),1)),OR(E110="Вкл=1",E110="Вкл=0"),CONCATENATE("Ind",SUM(COUNTIF($M$97:M109,"*Ind*"),1)))</f>
        <v>Alm12</v>
      </c>
      <c r="N110" s="82" t="str">
        <f t="shared" si="42"/>
        <v>PA6_3_</v>
      </c>
      <c r="O110" s="82"/>
      <c r="P110" s="98"/>
      <c r="Q110" s="82"/>
      <c r="R110" s="82"/>
      <c r="S110" s="82"/>
      <c r="T110" s="82"/>
      <c r="U110" s="82"/>
      <c r="V110" s="82"/>
      <c r="W110" s="82"/>
      <c r="X110" s="82"/>
    </row>
    <row r="111" spans="1:24" x14ac:dyDescent="0.3">
      <c r="A111" s="277"/>
      <c r="B111" s="268"/>
      <c r="C111" s="422">
        <f t="shared" si="39"/>
        <v>15</v>
      </c>
      <c r="D111" s="87" t="s">
        <v>710</v>
      </c>
      <c r="E111" s="92" t="s">
        <v>208</v>
      </c>
      <c r="F111" s="424"/>
      <c r="G111" s="281"/>
      <c r="H111" s="283"/>
      <c r="I111" s="106">
        <f t="shared" si="40"/>
        <v>4110</v>
      </c>
      <c r="J111" s="107" t="str">
        <f t="shared" si="38"/>
        <v>SPT18DC/PA6_3_GGIO29.Alm13</v>
      </c>
      <c r="K111" s="103" t="str">
        <f t="shared" si="41"/>
        <v>18DC</v>
      </c>
      <c r="L111" s="104" t="str">
        <f t="shared" si="41"/>
        <v>GGIO29</v>
      </c>
      <c r="M111" s="163" t="str">
        <f>_xlfn.IFS(OR(E111="Авария=1",E111="Авария=0"),CONCATENATE("Alm",SUM(COUNTIF($M$97:M110,"*Alm*"),1)),OR(E111="Вкл=1",E111="Вкл=0"),CONCATENATE("Ind",SUM(COUNTIF($M$97:M110,"*Ind*"),1)))</f>
        <v>Alm13</v>
      </c>
      <c r="N111" s="82" t="str">
        <f t="shared" si="42"/>
        <v>PA6_3_</v>
      </c>
      <c r="O111" s="82"/>
      <c r="P111" s="98"/>
      <c r="Q111" s="82"/>
      <c r="R111" s="82"/>
      <c r="S111" s="82"/>
      <c r="T111" s="82"/>
      <c r="U111" s="82"/>
      <c r="V111" s="82"/>
      <c r="W111" s="82"/>
      <c r="X111" s="82"/>
    </row>
    <row r="112" spans="1:24" x14ac:dyDescent="0.3">
      <c r="A112" s="277"/>
      <c r="B112" s="268"/>
      <c r="C112" s="422">
        <f t="shared" si="39"/>
        <v>16</v>
      </c>
      <c r="D112" s="87" t="s">
        <v>711</v>
      </c>
      <c r="E112" s="421" t="s">
        <v>714</v>
      </c>
      <c r="F112" s="424"/>
      <c r="G112" s="281"/>
      <c r="H112" s="283"/>
      <c r="I112" s="106">
        <f t="shared" si="40"/>
        <v>4111</v>
      </c>
      <c r="J112" s="107" t="str">
        <f t="shared" si="38"/>
        <v>SPT18DC/PA6_3_GGIO29.Ind3</v>
      </c>
      <c r="K112" s="103" t="str">
        <f t="shared" si="41"/>
        <v>18DC</v>
      </c>
      <c r="L112" s="104" t="str">
        <f t="shared" si="41"/>
        <v>GGIO29</v>
      </c>
      <c r="M112" s="163" t="str">
        <f>_xlfn.IFS(OR(E112="Авария=1",E112="Авария=0"),CONCATENATE("Alm",SUM(COUNTIF($M$97:M111,"*Alm*"),1)),OR(E112="Вкл=1",E112="Вкл=0"),CONCATENATE("Ind",SUM(COUNTIF($M$97:M111,"*Ind*"),1)))</f>
        <v>Ind3</v>
      </c>
      <c r="N112" s="82" t="str">
        <f t="shared" si="42"/>
        <v>PA6_3_</v>
      </c>
      <c r="O112" s="82"/>
      <c r="P112" s="98"/>
      <c r="Q112" s="82"/>
      <c r="R112" s="82"/>
      <c r="S112" s="82"/>
      <c r="T112" s="82"/>
      <c r="U112" s="82"/>
      <c r="V112" s="82"/>
      <c r="W112" s="82"/>
      <c r="X112" s="82"/>
    </row>
    <row r="113" spans="1:24" x14ac:dyDescent="0.3">
      <c r="A113" s="277"/>
      <c r="B113" s="268"/>
      <c r="C113" s="422">
        <f t="shared" si="39"/>
        <v>17</v>
      </c>
      <c r="D113" s="87" t="s">
        <v>712</v>
      </c>
      <c r="E113" s="421" t="s">
        <v>714</v>
      </c>
      <c r="F113" s="424"/>
      <c r="G113" s="281"/>
      <c r="H113" s="283"/>
      <c r="I113" s="106">
        <f t="shared" si="40"/>
        <v>4112</v>
      </c>
      <c r="J113" s="107" t="str">
        <f t="shared" si="38"/>
        <v>SPT18DC/PA6_3_GGIO29.Ind4</v>
      </c>
      <c r="K113" s="103" t="str">
        <f t="shared" si="41"/>
        <v>18DC</v>
      </c>
      <c r="L113" s="104" t="str">
        <f t="shared" si="41"/>
        <v>GGIO29</v>
      </c>
      <c r="M113" s="163" t="str">
        <f>_xlfn.IFS(OR(E113="Авария=1",E113="Авария=0"),CONCATENATE("Alm",SUM(COUNTIF($M$97:M112,"*Alm*"),1)),OR(E113="Вкл=1",E113="Вкл=0"),CONCATENATE("Ind",SUM(COUNTIF($M$97:M112,"*Ind*"),1)))</f>
        <v>Ind4</v>
      </c>
      <c r="N113" s="82" t="str">
        <f t="shared" si="42"/>
        <v>PA6_3_</v>
      </c>
      <c r="O113" s="82"/>
      <c r="P113" s="98"/>
      <c r="Q113" s="82"/>
      <c r="R113" s="82"/>
      <c r="S113" s="82"/>
      <c r="T113" s="82"/>
      <c r="U113" s="82"/>
      <c r="V113" s="82"/>
      <c r="W113" s="82"/>
      <c r="X113" s="82"/>
    </row>
    <row r="114" spans="1:24" x14ac:dyDescent="0.3">
      <c r="A114" s="277"/>
      <c r="B114" s="268"/>
      <c r="C114" s="422">
        <f t="shared" si="39"/>
        <v>18</v>
      </c>
      <c r="D114" s="87" t="s">
        <v>713</v>
      </c>
      <c r="E114" s="421" t="s">
        <v>714</v>
      </c>
      <c r="F114" s="424"/>
      <c r="G114" s="281"/>
      <c r="H114" s="283"/>
      <c r="I114" s="106">
        <f t="shared" si="40"/>
        <v>4113</v>
      </c>
      <c r="J114" s="107" t="str">
        <f t="shared" si="38"/>
        <v>SPT18DC/PA6_3_GGIO29.Ind5</v>
      </c>
      <c r="K114" s="103" t="str">
        <f t="shared" si="41"/>
        <v>18DC</v>
      </c>
      <c r="L114" s="104" t="str">
        <f t="shared" si="41"/>
        <v>GGIO29</v>
      </c>
      <c r="M114" s="163" t="str">
        <f>_xlfn.IFS(OR(E114="Авария=1",E114="Авария=0"),CONCATENATE("Alm",SUM(COUNTIF($M$97:M113,"*Alm*"),1)),OR(E114="Вкл=1",E114="Вкл=0"),CONCATENATE("Ind",SUM(COUNTIF($M$97:M113,"*Ind*"),1)))</f>
        <v>Ind5</v>
      </c>
      <c r="N114" s="82" t="str">
        <f t="shared" si="42"/>
        <v>PA6_3_</v>
      </c>
      <c r="O114" s="82"/>
      <c r="P114" s="98"/>
      <c r="Q114" s="82"/>
      <c r="R114" s="82"/>
      <c r="S114" s="82"/>
      <c r="T114" s="82"/>
      <c r="U114" s="82"/>
      <c r="V114" s="82"/>
      <c r="W114" s="82"/>
      <c r="X114" s="82"/>
    </row>
    <row r="115" spans="1:24" x14ac:dyDescent="0.3">
      <c r="A115" s="277"/>
      <c r="B115" s="268"/>
      <c r="C115" s="422">
        <f t="shared" si="39"/>
        <v>19</v>
      </c>
      <c r="D115" s="225" t="s">
        <v>29</v>
      </c>
      <c r="E115" s="225" t="s">
        <v>29</v>
      </c>
      <c r="F115" s="424"/>
      <c r="G115" s="281"/>
      <c r="H115" s="283"/>
      <c r="I115" s="225" t="s">
        <v>29</v>
      </c>
      <c r="J115" s="430" t="str">
        <f t="shared" si="38"/>
        <v>-</v>
      </c>
      <c r="K115" s="103" t="str">
        <f t="shared" ref="K115:L128" si="43">K114</f>
        <v>18DC</v>
      </c>
      <c r="L115" s="104" t="str">
        <f t="shared" si="43"/>
        <v>GGIO29</v>
      </c>
      <c r="M115" s="163" t="e">
        <f>_xlfn.IFS(OR(E115="Авария=1",E115="Авария=0"),CONCATENATE("Alm",SUM(COUNTIF($M$97:M114,"*Alm*"),1)),OR(E115="Вкл=1",E115="Вкл=0"),CONCATENATE("Ind",SUM(COUNTIF($M$97:M114,"*Ind*"),1)))</f>
        <v>#N/A</v>
      </c>
      <c r="N115" s="82" t="str">
        <f t="shared" si="42"/>
        <v>PA6_3_</v>
      </c>
      <c r="O115" s="82"/>
      <c r="P115" s="98"/>
      <c r="Q115" s="82"/>
      <c r="R115" s="82"/>
      <c r="S115" s="82"/>
      <c r="T115" s="82"/>
      <c r="U115" s="82"/>
      <c r="V115" s="82"/>
      <c r="W115" s="82"/>
      <c r="X115" s="82"/>
    </row>
    <row r="116" spans="1:24" x14ac:dyDescent="0.3">
      <c r="A116" s="277"/>
      <c r="B116" s="268"/>
      <c r="C116" s="422">
        <f t="shared" si="39"/>
        <v>20</v>
      </c>
      <c r="D116" s="225" t="s">
        <v>29</v>
      </c>
      <c r="E116" s="225" t="s">
        <v>29</v>
      </c>
      <c r="F116" s="424"/>
      <c r="G116" s="281"/>
      <c r="H116" s="283"/>
      <c r="I116" s="225" t="s">
        <v>29</v>
      </c>
      <c r="J116" s="430" t="str">
        <f t="shared" si="38"/>
        <v>-</v>
      </c>
      <c r="K116" s="103" t="str">
        <f t="shared" si="43"/>
        <v>18DC</v>
      </c>
      <c r="L116" s="104" t="str">
        <f t="shared" si="43"/>
        <v>GGIO29</v>
      </c>
      <c r="M116" s="163" t="e">
        <f>_xlfn.IFS(OR(E116="Авария=1",E116="Авария=0"),CONCATENATE("Alm",SUM(COUNTIF($M$97:M115,"*Alm*"),1)),OR(E116="Вкл=1",E116="Вкл=0"),CONCATENATE("Ind",SUM(COUNTIF($M$97:M115,"*Ind*"),1)))</f>
        <v>#N/A</v>
      </c>
      <c r="N116" s="82" t="str">
        <f t="shared" si="42"/>
        <v>PA6_3_</v>
      </c>
      <c r="O116" s="82"/>
      <c r="P116" s="98"/>
      <c r="Q116" s="82"/>
      <c r="R116" s="82"/>
      <c r="S116" s="82"/>
      <c r="T116" s="82"/>
      <c r="U116" s="82"/>
      <c r="V116" s="82"/>
      <c r="W116" s="82"/>
      <c r="X116" s="82"/>
    </row>
    <row r="117" spans="1:24" x14ac:dyDescent="0.3">
      <c r="A117" s="277"/>
      <c r="B117" s="268"/>
      <c r="C117" s="422">
        <f t="shared" si="39"/>
        <v>21</v>
      </c>
      <c r="D117" s="225" t="s">
        <v>29</v>
      </c>
      <c r="E117" s="225" t="s">
        <v>29</v>
      </c>
      <c r="F117" s="424"/>
      <c r="G117" s="281"/>
      <c r="H117" s="283"/>
      <c r="I117" s="225" t="s">
        <v>29</v>
      </c>
      <c r="J117" s="430" t="str">
        <f t="shared" si="38"/>
        <v>-</v>
      </c>
      <c r="K117" s="103" t="str">
        <f t="shared" si="43"/>
        <v>18DC</v>
      </c>
      <c r="L117" s="104" t="str">
        <f t="shared" si="43"/>
        <v>GGIO29</v>
      </c>
      <c r="M117" s="163" t="e">
        <f>_xlfn.IFS(OR(E117="Авария=1",E117="Авария=0"),CONCATENATE("Alm",SUM(COUNTIF($M$97:M116,"*Alm*"),1)),OR(E117="Вкл=1",E117="Вкл=0"),CONCATENATE("Ind",SUM(COUNTIF($M$97:M116,"*Ind*"),1)))</f>
        <v>#N/A</v>
      </c>
      <c r="N117" s="82" t="str">
        <f t="shared" si="42"/>
        <v>PA6_3_</v>
      </c>
      <c r="O117" s="82"/>
      <c r="P117" s="98"/>
      <c r="Q117" s="82"/>
      <c r="R117" s="82"/>
      <c r="S117" s="82"/>
      <c r="T117" s="82"/>
      <c r="U117" s="82"/>
      <c r="V117" s="82"/>
      <c r="W117" s="82"/>
      <c r="X117" s="82"/>
    </row>
    <row r="118" spans="1:24" x14ac:dyDescent="0.3">
      <c r="A118" s="277"/>
      <c r="B118" s="268"/>
      <c r="C118" s="422">
        <f t="shared" si="39"/>
        <v>22</v>
      </c>
      <c r="D118" s="225" t="s">
        <v>29</v>
      </c>
      <c r="E118" s="225" t="s">
        <v>29</v>
      </c>
      <c r="F118" s="424"/>
      <c r="G118" s="281"/>
      <c r="H118" s="283"/>
      <c r="I118" s="225" t="s">
        <v>29</v>
      </c>
      <c r="J118" s="430" t="str">
        <f t="shared" si="38"/>
        <v>-</v>
      </c>
      <c r="K118" s="103" t="str">
        <f t="shared" si="43"/>
        <v>18DC</v>
      </c>
      <c r="L118" s="104" t="str">
        <f t="shared" si="43"/>
        <v>GGIO29</v>
      </c>
      <c r="M118" s="163" t="e">
        <f>_xlfn.IFS(OR(E118="Авария=1",E118="Авария=0"),CONCATENATE("Alm",SUM(COUNTIF($M$97:M117,"*Alm*"),1)),OR(E118="Вкл=1",E118="Вкл=0"),CONCATENATE("Ind",SUM(COUNTIF($M$97:M117,"*Ind*"),1)))</f>
        <v>#N/A</v>
      </c>
      <c r="N118" s="82" t="str">
        <f t="shared" si="42"/>
        <v>PA6_3_</v>
      </c>
      <c r="O118" s="82"/>
      <c r="P118" s="98"/>
      <c r="Q118" s="82"/>
      <c r="R118" s="82"/>
      <c r="S118" s="82"/>
      <c r="T118" s="82"/>
      <c r="U118" s="82"/>
      <c r="V118" s="82"/>
      <c r="W118" s="82"/>
      <c r="X118" s="82"/>
    </row>
    <row r="119" spans="1:24" x14ac:dyDescent="0.3">
      <c r="A119" s="277"/>
      <c r="B119" s="268"/>
      <c r="C119" s="422">
        <f t="shared" si="39"/>
        <v>23</v>
      </c>
      <c r="D119" s="225" t="s">
        <v>29</v>
      </c>
      <c r="E119" s="225" t="s">
        <v>29</v>
      </c>
      <c r="F119" s="424"/>
      <c r="G119" s="281"/>
      <c r="H119" s="283"/>
      <c r="I119" s="225" t="s">
        <v>29</v>
      </c>
      <c r="J119" s="430" t="str">
        <f t="shared" si="38"/>
        <v>-</v>
      </c>
      <c r="K119" s="103" t="str">
        <f t="shared" si="43"/>
        <v>18DC</v>
      </c>
      <c r="L119" s="104" t="str">
        <f t="shared" si="43"/>
        <v>GGIO29</v>
      </c>
      <c r="M119" s="163" t="e">
        <f>_xlfn.IFS(OR(E119="Авария=1",E119="Авария=0"),CONCATENATE("Alm",SUM(COUNTIF($M$97:M118,"*Alm*"),1)),OR(E119="Вкл=1",E119="Вкл=0"),CONCATENATE("Ind",SUM(COUNTIF($M$97:M118,"*Ind*"),1)))</f>
        <v>#N/A</v>
      </c>
      <c r="N119" s="82" t="str">
        <f t="shared" si="42"/>
        <v>PA6_3_</v>
      </c>
      <c r="O119" s="82"/>
      <c r="P119" s="98"/>
      <c r="Q119" s="82"/>
      <c r="R119" s="82"/>
      <c r="S119" s="82"/>
      <c r="T119" s="82"/>
      <c r="U119" s="82"/>
      <c r="V119" s="82"/>
      <c r="W119" s="82"/>
      <c r="X119" s="82"/>
    </row>
    <row r="120" spans="1:24" x14ac:dyDescent="0.3">
      <c r="A120" s="277"/>
      <c r="B120" s="268"/>
      <c r="C120" s="422">
        <f t="shared" si="39"/>
        <v>24</v>
      </c>
      <c r="D120" s="225" t="s">
        <v>29</v>
      </c>
      <c r="E120" s="225" t="s">
        <v>29</v>
      </c>
      <c r="F120" s="424"/>
      <c r="G120" s="281"/>
      <c r="H120" s="283"/>
      <c r="I120" s="225" t="s">
        <v>29</v>
      </c>
      <c r="J120" s="430" t="str">
        <f t="shared" si="38"/>
        <v>-</v>
      </c>
      <c r="K120" s="103" t="str">
        <f t="shared" si="43"/>
        <v>18DC</v>
      </c>
      <c r="L120" s="104" t="str">
        <f t="shared" si="43"/>
        <v>GGIO29</v>
      </c>
      <c r="M120" s="163" t="e">
        <f>_xlfn.IFS(OR(E120="Авария=1",E120="Авария=0"),CONCATENATE("Alm",SUM(COUNTIF($M$97:M119,"*Alm*"),1)),OR(E120="Вкл=1",E120="Вкл=0"),CONCATENATE("Ind",SUM(COUNTIF($M$97:M119,"*Ind*"),1)))</f>
        <v>#N/A</v>
      </c>
      <c r="N120" s="82" t="str">
        <f t="shared" si="42"/>
        <v>PA6_3_</v>
      </c>
      <c r="O120" s="82"/>
      <c r="P120" s="98"/>
      <c r="Q120" s="82"/>
      <c r="R120" s="82"/>
      <c r="S120" s="82"/>
      <c r="T120" s="82"/>
      <c r="U120" s="82"/>
      <c r="V120" s="82"/>
      <c r="W120" s="82"/>
      <c r="X120" s="82"/>
    </row>
    <row r="121" spans="1:24" x14ac:dyDescent="0.3">
      <c r="A121" s="277"/>
      <c r="B121" s="268"/>
      <c r="C121" s="422">
        <f t="shared" si="39"/>
        <v>25</v>
      </c>
      <c r="D121" s="225" t="s">
        <v>29</v>
      </c>
      <c r="E121" s="225" t="s">
        <v>29</v>
      </c>
      <c r="F121" s="424"/>
      <c r="G121" s="281"/>
      <c r="H121" s="283"/>
      <c r="I121" s="225" t="s">
        <v>29</v>
      </c>
      <c r="J121" s="430" t="str">
        <f t="shared" si="38"/>
        <v>-</v>
      </c>
      <c r="K121" s="103" t="str">
        <f t="shared" si="43"/>
        <v>18DC</v>
      </c>
      <c r="L121" s="104" t="str">
        <f t="shared" si="43"/>
        <v>GGIO29</v>
      </c>
      <c r="M121" s="163" t="e">
        <f>_xlfn.IFS(OR(E121="Авария=1",E121="Авария=0"),CONCATENATE("Alm",SUM(COUNTIF($M$97:M120,"*Alm*"),1)),OR(E121="Вкл=1",E121="Вкл=0"),CONCATENATE("Ind",SUM(COUNTIF($M$97:M120,"*Ind*"),1)))</f>
        <v>#N/A</v>
      </c>
      <c r="N121" s="82" t="str">
        <f t="shared" si="42"/>
        <v>PA6_3_</v>
      </c>
      <c r="O121" s="82"/>
      <c r="P121" s="98"/>
      <c r="Q121" s="82"/>
      <c r="R121" s="82"/>
      <c r="S121" s="82"/>
      <c r="T121" s="82"/>
      <c r="U121" s="82"/>
      <c r="V121" s="82"/>
      <c r="W121" s="82"/>
      <c r="X121" s="82"/>
    </row>
    <row r="122" spans="1:24" x14ac:dyDescent="0.3">
      <c r="A122" s="277"/>
      <c r="B122" s="268"/>
      <c r="C122" s="422">
        <f t="shared" si="39"/>
        <v>26</v>
      </c>
      <c r="D122" s="225" t="s">
        <v>29</v>
      </c>
      <c r="E122" s="225" t="s">
        <v>29</v>
      </c>
      <c r="F122" s="424"/>
      <c r="G122" s="281"/>
      <c r="H122" s="283"/>
      <c r="I122" s="225" t="s">
        <v>29</v>
      </c>
      <c r="J122" s="430" t="str">
        <f t="shared" si="38"/>
        <v>-</v>
      </c>
      <c r="K122" s="103" t="str">
        <f t="shared" si="43"/>
        <v>18DC</v>
      </c>
      <c r="L122" s="104" t="str">
        <f t="shared" si="43"/>
        <v>GGIO29</v>
      </c>
      <c r="M122" s="163" t="e">
        <f>_xlfn.IFS(OR(E122="Авария=1",E122="Авария=0"),CONCATENATE("Alm",SUM(COUNTIF($M$97:M121,"*Alm*"),1)),OR(E122="Вкл=1",E122="Вкл=0"),CONCATENATE("Ind",SUM(COUNTIF($M$97:M121,"*Ind*"),1)))</f>
        <v>#N/A</v>
      </c>
      <c r="N122" s="82" t="str">
        <f t="shared" si="42"/>
        <v>PA6_3_</v>
      </c>
      <c r="O122" s="82"/>
      <c r="P122" s="98"/>
      <c r="Q122" s="82"/>
      <c r="R122" s="82"/>
      <c r="S122" s="82"/>
      <c r="T122" s="82"/>
      <c r="U122" s="82"/>
      <c r="V122" s="82"/>
      <c r="W122" s="82"/>
      <c r="X122" s="82"/>
    </row>
    <row r="123" spans="1:24" x14ac:dyDescent="0.3">
      <c r="A123" s="277"/>
      <c r="B123" s="268"/>
      <c r="C123" s="422">
        <f t="shared" si="39"/>
        <v>27</v>
      </c>
      <c r="D123" s="225" t="s">
        <v>29</v>
      </c>
      <c r="E123" s="225" t="s">
        <v>29</v>
      </c>
      <c r="F123" s="424"/>
      <c r="G123" s="281"/>
      <c r="H123" s="283"/>
      <c r="I123" s="225" t="s">
        <v>29</v>
      </c>
      <c r="J123" s="430" t="str">
        <f t="shared" si="38"/>
        <v>-</v>
      </c>
      <c r="K123" s="103" t="str">
        <f t="shared" si="43"/>
        <v>18DC</v>
      </c>
      <c r="L123" s="104" t="str">
        <f t="shared" si="43"/>
        <v>GGIO29</v>
      </c>
      <c r="M123" s="163" t="e">
        <f>_xlfn.IFS(OR(E123="Авария=1",E123="Авария=0"),CONCATENATE("Alm",SUM(COUNTIF($M$97:M122,"*Alm*"),1)),OR(E123="Вкл=1",E123="Вкл=0"),CONCATENATE("Ind",SUM(COUNTIF($M$97:M122,"*Ind*"),1)))</f>
        <v>#N/A</v>
      </c>
      <c r="N123" s="82" t="str">
        <f t="shared" si="42"/>
        <v>PA6_3_</v>
      </c>
      <c r="O123" s="82"/>
      <c r="P123" s="98"/>
      <c r="Q123" s="82"/>
      <c r="R123" s="82"/>
      <c r="S123" s="82"/>
      <c r="T123" s="82"/>
      <c r="U123" s="82"/>
      <c r="V123" s="82"/>
      <c r="W123" s="82"/>
      <c r="X123" s="82"/>
    </row>
    <row r="124" spans="1:24" x14ac:dyDescent="0.3">
      <c r="A124" s="277"/>
      <c r="B124" s="268"/>
      <c r="C124" s="422">
        <f t="shared" si="39"/>
        <v>28</v>
      </c>
      <c r="D124" s="225" t="s">
        <v>29</v>
      </c>
      <c r="E124" s="225" t="s">
        <v>29</v>
      </c>
      <c r="F124" s="424"/>
      <c r="G124" s="281"/>
      <c r="H124" s="283"/>
      <c r="I124" s="225" t="s">
        <v>29</v>
      </c>
      <c r="J124" s="430" t="str">
        <f t="shared" si="38"/>
        <v>-</v>
      </c>
      <c r="K124" s="103" t="str">
        <f t="shared" si="43"/>
        <v>18DC</v>
      </c>
      <c r="L124" s="104" t="str">
        <f t="shared" si="43"/>
        <v>GGIO29</v>
      </c>
      <c r="M124" s="163" t="e">
        <f>_xlfn.IFS(OR(E124="Авария=1",E124="Авария=0"),CONCATENATE("Alm",SUM(COUNTIF($M$97:M123,"*Alm*"),1)),OR(E124="Вкл=1",E124="Вкл=0"),CONCATENATE("Ind",SUM(COUNTIF($M$97:M123,"*Ind*"),1)))</f>
        <v>#N/A</v>
      </c>
      <c r="N124" s="82" t="str">
        <f t="shared" si="42"/>
        <v>PA6_3_</v>
      </c>
      <c r="O124" s="82"/>
      <c r="P124" s="98"/>
      <c r="Q124" s="82"/>
      <c r="R124" s="82"/>
      <c r="S124" s="82"/>
      <c r="T124" s="82"/>
      <c r="U124" s="82"/>
      <c r="V124" s="82"/>
      <c r="W124" s="82"/>
      <c r="X124" s="82"/>
    </row>
    <row r="125" spans="1:24" x14ac:dyDescent="0.3">
      <c r="A125" s="277"/>
      <c r="B125" s="268"/>
      <c r="C125" s="422">
        <f t="shared" si="39"/>
        <v>29</v>
      </c>
      <c r="D125" s="225" t="s">
        <v>29</v>
      </c>
      <c r="E125" s="225" t="s">
        <v>29</v>
      </c>
      <c r="F125" s="424"/>
      <c r="G125" s="281"/>
      <c r="H125" s="283"/>
      <c r="I125" s="225" t="s">
        <v>29</v>
      </c>
      <c r="J125" s="430" t="str">
        <f t="shared" si="38"/>
        <v>-</v>
      </c>
      <c r="K125" s="103" t="str">
        <f t="shared" si="43"/>
        <v>18DC</v>
      </c>
      <c r="L125" s="104" t="str">
        <f t="shared" si="43"/>
        <v>GGIO29</v>
      </c>
      <c r="M125" s="163" t="e">
        <f>_xlfn.IFS(OR(E125="Авария=1",E125="Авария=0"),CONCATENATE("Alm",SUM(COUNTIF($M$97:M124,"*Alm*"),1)),OR(E125="Вкл=1",E125="Вкл=0"),CONCATENATE("Ind",SUM(COUNTIF($M$97:M124,"*Ind*"),1)))</f>
        <v>#N/A</v>
      </c>
      <c r="N125" s="82" t="str">
        <f t="shared" si="42"/>
        <v>PA6_3_</v>
      </c>
      <c r="O125" s="82"/>
      <c r="P125" s="98"/>
      <c r="Q125" s="82"/>
      <c r="R125" s="82"/>
      <c r="S125" s="82"/>
      <c r="T125" s="82"/>
      <c r="U125" s="82"/>
      <c r="V125" s="82"/>
      <c r="W125" s="82"/>
      <c r="X125" s="82"/>
    </row>
    <row r="126" spans="1:24" x14ac:dyDescent="0.3">
      <c r="A126" s="277"/>
      <c r="B126" s="268"/>
      <c r="C126" s="422">
        <f t="shared" si="39"/>
        <v>30</v>
      </c>
      <c r="D126" s="225" t="s">
        <v>29</v>
      </c>
      <c r="E126" s="225" t="s">
        <v>29</v>
      </c>
      <c r="F126" s="424"/>
      <c r="G126" s="281"/>
      <c r="H126" s="283"/>
      <c r="I126" s="225" t="s">
        <v>29</v>
      </c>
      <c r="J126" s="430" t="str">
        <f t="shared" si="38"/>
        <v>-</v>
      </c>
      <c r="K126" s="103" t="str">
        <f t="shared" si="43"/>
        <v>18DC</v>
      </c>
      <c r="L126" s="104" t="str">
        <f t="shared" si="43"/>
        <v>GGIO29</v>
      </c>
      <c r="M126" s="163" t="e">
        <f>_xlfn.IFS(OR(E126="Авария=1",E126="Авария=0"),CONCATENATE("Alm",SUM(COUNTIF($M$97:M125,"*Alm*"),1)),OR(E126="Вкл=1",E126="Вкл=0"),CONCATENATE("Ind",SUM(COUNTIF($M$97:M125,"*Ind*"),1)))</f>
        <v>#N/A</v>
      </c>
      <c r="N126" s="82" t="str">
        <f t="shared" si="42"/>
        <v>PA6_3_</v>
      </c>
      <c r="O126" s="82"/>
      <c r="P126" s="98"/>
      <c r="Q126" s="82"/>
      <c r="R126" s="82"/>
      <c r="S126" s="82"/>
      <c r="T126" s="82"/>
      <c r="U126" s="82"/>
      <c r="V126" s="82"/>
      <c r="W126" s="82"/>
      <c r="X126" s="82"/>
    </row>
    <row r="127" spans="1:24" x14ac:dyDescent="0.3">
      <c r="A127" s="277"/>
      <c r="B127" s="268"/>
      <c r="C127" s="422">
        <f t="shared" si="39"/>
        <v>31</v>
      </c>
      <c r="D127" s="225" t="s">
        <v>29</v>
      </c>
      <c r="E127" s="225" t="s">
        <v>29</v>
      </c>
      <c r="F127" s="424"/>
      <c r="G127" s="281"/>
      <c r="H127" s="283"/>
      <c r="I127" s="225" t="s">
        <v>29</v>
      </c>
      <c r="J127" s="430" t="str">
        <f t="shared" si="38"/>
        <v>-</v>
      </c>
      <c r="K127" s="103" t="str">
        <f t="shared" si="43"/>
        <v>18DC</v>
      </c>
      <c r="L127" s="104" t="str">
        <f t="shared" si="43"/>
        <v>GGIO29</v>
      </c>
      <c r="M127" s="163" t="e">
        <f>_xlfn.IFS(OR(E127="Авария=1",E127="Авария=0"),CONCATENATE("Alm",SUM(COUNTIF($M$97:M126,"*Alm*"),1)),OR(E127="Вкл=1",E127="Вкл=0"),CONCATENATE("Ind",SUM(COUNTIF($M$97:M126,"*Ind*"),1)))</f>
        <v>#N/A</v>
      </c>
      <c r="N127" s="82" t="str">
        <f t="shared" si="42"/>
        <v>PA6_3_</v>
      </c>
      <c r="O127" s="82"/>
      <c r="P127" s="98"/>
      <c r="Q127" s="82"/>
      <c r="R127" s="82"/>
      <c r="S127" s="82"/>
      <c r="T127" s="82"/>
      <c r="U127" s="82"/>
      <c r="V127" s="82"/>
      <c r="W127" s="82"/>
      <c r="X127" s="82"/>
    </row>
    <row r="128" spans="1:24" x14ac:dyDescent="0.3">
      <c r="A128" s="277"/>
      <c r="B128" s="268"/>
      <c r="C128" s="422">
        <f>C127+1</f>
        <v>32</v>
      </c>
      <c r="D128" s="225" t="s">
        <v>29</v>
      </c>
      <c r="E128" s="225" t="s">
        <v>29</v>
      </c>
      <c r="F128" s="425"/>
      <c r="G128" s="281"/>
      <c r="H128" s="284"/>
      <c r="I128" s="225" t="s">
        <v>29</v>
      </c>
      <c r="J128" s="430" t="str">
        <f t="shared" si="38"/>
        <v>-</v>
      </c>
      <c r="K128" s="103" t="str">
        <f t="shared" si="43"/>
        <v>18DC</v>
      </c>
      <c r="L128" s="104" t="str">
        <f t="shared" si="43"/>
        <v>GGIO29</v>
      </c>
      <c r="M128" s="163" t="e">
        <f>_xlfn.IFS(OR(E128="Авария=1",E128="Авария=0"),CONCATENATE("Alm",SUM(COUNTIF($M$97:M127,"*Alm*"),1)),OR(E128="Вкл=1",E128="Вкл=0"),CONCATENATE("Ind",SUM(COUNTIF($M$97:M127,"*Ind*"),1)))</f>
        <v>#N/A</v>
      </c>
      <c r="N128" s="82" t="str">
        <f t="shared" si="42"/>
        <v>PA6_3_</v>
      </c>
      <c r="O128" s="82"/>
      <c r="P128" s="98"/>
      <c r="Q128" s="82"/>
      <c r="R128" s="82"/>
      <c r="S128" s="82"/>
      <c r="T128" s="82"/>
      <c r="U128" s="82"/>
      <c r="V128" s="82"/>
      <c r="W128" s="82"/>
      <c r="X128" s="82"/>
    </row>
    <row r="129" spans="1:24" x14ac:dyDescent="0.3">
      <c r="A129" s="322"/>
      <c r="B129" s="323"/>
      <c r="C129" s="323"/>
      <c r="D129" s="426"/>
      <c r="E129" s="426"/>
      <c r="F129" s="323"/>
      <c r="G129" s="323"/>
      <c r="H129" s="323"/>
      <c r="I129" s="323"/>
      <c r="J129" s="324"/>
      <c r="K129" s="111"/>
      <c r="L129" s="112"/>
      <c r="M129" s="110"/>
      <c r="N129" s="110"/>
      <c r="O129" s="110"/>
      <c r="P129" s="117"/>
      <c r="Q129" s="110"/>
      <c r="R129" s="110"/>
      <c r="S129" s="110"/>
      <c r="T129" s="110"/>
      <c r="U129" s="110"/>
      <c r="V129" s="110"/>
      <c r="W129" s="110"/>
      <c r="X129" s="110"/>
    </row>
    <row r="130" spans="1:24" x14ac:dyDescent="0.3">
      <c r="A130" s="258" t="s">
        <v>676</v>
      </c>
      <c r="B130" s="259"/>
      <c r="C130" s="259"/>
      <c r="D130" s="259"/>
      <c r="E130" s="259"/>
      <c r="F130" s="259"/>
      <c r="G130" s="259"/>
      <c r="H130" s="259"/>
      <c r="I130" s="259"/>
      <c r="J130" s="260"/>
      <c r="K130" s="137"/>
      <c r="L130" s="112"/>
      <c r="M130" s="110"/>
      <c r="N130" s="110"/>
      <c r="O130" s="110"/>
      <c r="P130" s="117"/>
      <c r="Q130" s="110"/>
      <c r="R130" s="110"/>
      <c r="S130" s="110"/>
      <c r="T130" s="110"/>
      <c r="U130" s="110"/>
      <c r="V130" s="110"/>
      <c r="W130" s="110"/>
      <c r="X130" s="110"/>
    </row>
    <row r="131" spans="1:24" x14ac:dyDescent="0.3">
      <c r="A131" s="218">
        <v>20</v>
      </c>
      <c r="B131" s="145" t="s">
        <v>3</v>
      </c>
      <c r="C131" s="219" t="s">
        <v>211</v>
      </c>
      <c r="D131" s="144" t="s">
        <v>309</v>
      </c>
      <c r="E131" s="129" t="s">
        <v>35</v>
      </c>
      <c r="F131" s="141" t="s">
        <v>30</v>
      </c>
      <c r="G131" s="214" t="s">
        <v>353</v>
      </c>
      <c r="H131" s="147" t="s">
        <v>3</v>
      </c>
      <c r="I131" s="115">
        <v>8786</v>
      </c>
      <c r="J131" s="107" t="str">
        <f>IF(OR(D131="",D131="-"),"",CONCATENATE("SPT",K131,"/",N131,L131,".",M131))</f>
        <v>SPT18DC/SHOL1_GGIO12.AnIn1</v>
      </c>
      <c r="K131" s="177" t="s">
        <v>791</v>
      </c>
      <c r="L131" s="180" t="s">
        <v>255</v>
      </c>
      <c r="M131" s="142" t="s">
        <v>51</v>
      </c>
      <c r="N131" s="179" t="s">
        <v>585</v>
      </c>
      <c r="O131" s="110"/>
      <c r="P131" s="117"/>
      <c r="Q131" s="110"/>
      <c r="R131" s="110"/>
      <c r="S131" s="110"/>
      <c r="T131" s="110"/>
      <c r="U131" s="110"/>
      <c r="V131" s="110"/>
      <c r="W131" s="110"/>
      <c r="X131" s="110"/>
    </row>
    <row r="132" spans="1:24" x14ac:dyDescent="0.3">
      <c r="A132" s="261"/>
      <c r="B132" s="262"/>
      <c r="C132" s="262"/>
      <c r="D132" s="262"/>
      <c r="E132" s="262"/>
      <c r="F132" s="262"/>
      <c r="G132" s="262"/>
      <c r="H132" s="262"/>
      <c r="I132" s="262"/>
      <c r="J132" s="263"/>
      <c r="K132" s="111"/>
      <c r="L132" s="142"/>
      <c r="M132" s="142"/>
      <c r="N132" s="110"/>
      <c r="O132" s="110"/>
      <c r="P132" s="117"/>
      <c r="Q132" s="110"/>
      <c r="R132" s="110"/>
      <c r="S132" s="110"/>
      <c r="T132" s="110"/>
      <c r="U132" s="110"/>
      <c r="V132" s="110"/>
      <c r="W132" s="110"/>
      <c r="X132" s="110"/>
    </row>
    <row r="133" spans="1:24" x14ac:dyDescent="0.3">
      <c r="A133" s="258" t="s">
        <v>289</v>
      </c>
      <c r="B133" s="259"/>
      <c r="C133" s="259"/>
      <c r="D133" s="259"/>
      <c r="E133" s="259"/>
      <c r="F133" s="259"/>
      <c r="G133" s="259"/>
      <c r="H133" s="259"/>
      <c r="I133" s="259"/>
      <c r="J133" s="260"/>
      <c r="K133" s="111"/>
      <c r="L133" s="142"/>
      <c r="M133" s="142"/>
      <c r="N133" s="110"/>
      <c r="O133" s="110"/>
      <c r="P133" s="117"/>
      <c r="Q133" s="110"/>
      <c r="R133" s="110"/>
      <c r="S133" s="110"/>
      <c r="T133" s="110"/>
      <c r="U133" s="110"/>
      <c r="V133" s="110"/>
      <c r="W133" s="110"/>
      <c r="X133" s="110"/>
    </row>
    <row r="134" spans="1:24" x14ac:dyDescent="0.3">
      <c r="A134" s="217">
        <v>21</v>
      </c>
      <c r="B134" s="219" t="s">
        <v>3</v>
      </c>
      <c r="C134" s="219" t="s">
        <v>31</v>
      </c>
      <c r="D134" s="107" t="s">
        <v>684</v>
      </c>
      <c r="E134" s="129" t="s">
        <v>35</v>
      </c>
      <c r="F134" s="141" t="s">
        <v>30</v>
      </c>
      <c r="G134" s="285" t="s">
        <v>353</v>
      </c>
      <c r="H134" s="215" t="s">
        <v>3</v>
      </c>
      <c r="I134" s="159">
        <v>8782</v>
      </c>
      <c r="J134" s="107" t="str">
        <f t="shared" ref="J134" si="44">IF(OR(D134="",D134="-"),"",CONCATENATE("SPT",K134,"/",N134,L134,".",M134))</f>
        <v>SPT18DC/RSPT_GGIO3.AnIn1</v>
      </c>
      <c r="K134" s="177" t="s">
        <v>791</v>
      </c>
      <c r="L134" s="180" t="s">
        <v>246</v>
      </c>
      <c r="M134" s="142" t="s">
        <v>51</v>
      </c>
      <c r="N134" s="179" t="s">
        <v>561</v>
      </c>
      <c r="O134" s="110"/>
      <c r="P134" s="117"/>
      <c r="Q134" s="110"/>
      <c r="R134" s="110"/>
      <c r="S134" s="110"/>
      <c r="T134" s="110"/>
      <c r="U134" s="110"/>
      <c r="V134" s="110"/>
      <c r="W134" s="110"/>
      <c r="X134" s="110"/>
    </row>
    <row r="135" spans="1:24" x14ac:dyDescent="0.3">
      <c r="A135" s="217">
        <v>22</v>
      </c>
      <c r="B135" s="219" t="s">
        <v>3</v>
      </c>
      <c r="C135" s="219" t="s">
        <v>31</v>
      </c>
      <c r="D135" s="107" t="s">
        <v>685</v>
      </c>
      <c r="E135" s="129" t="s">
        <v>35</v>
      </c>
      <c r="F135" s="141" t="s">
        <v>30</v>
      </c>
      <c r="G135" s="294"/>
      <c r="H135" s="215" t="s">
        <v>3</v>
      </c>
      <c r="I135" s="159">
        <v>8782</v>
      </c>
      <c r="J135" s="107" t="str">
        <f t="shared" ref="J135" si="45">IF(OR(D135="",D135="-"),"",CONCATENATE("SPT",K135,"/",N135,L135,".",M135))</f>
        <v>SPT18DC/RSPT_GGIO3.AnIn1</v>
      </c>
      <c r="K135" s="177" t="str">
        <f>K134</f>
        <v>18DC</v>
      </c>
      <c r="L135" s="180" t="s">
        <v>246</v>
      </c>
      <c r="M135" s="142" t="s">
        <v>51</v>
      </c>
      <c r="N135" s="179" t="s">
        <v>561</v>
      </c>
      <c r="O135" s="110"/>
      <c r="P135" s="117"/>
      <c r="Q135" s="110"/>
      <c r="R135" s="110"/>
      <c r="S135" s="110"/>
      <c r="T135" s="110"/>
      <c r="U135" s="110"/>
      <c r="V135" s="110"/>
      <c r="W135" s="110"/>
      <c r="X135" s="110"/>
    </row>
    <row r="136" spans="1:24" x14ac:dyDescent="0.3">
      <c r="A136" s="217">
        <v>23</v>
      </c>
      <c r="B136" s="219" t="s">
        <v>3</v>
      </c>
      <c r="C136" s="219" t="s">
        <v>31</v>
      </c>
      <c r="D136" s="107" t="s">
        <v>686</v>
      </c>
      <c r="E136" s="129" t="s">
        <v>35</v>
      </c>
      <c r="F136" s="141" t="s">
        <v>30</v>
      </c>
      <c r="G136" s="294"/>
      <c r="H136" s="215" t="s">
        <v>3</v>
      </c>
      <c r="I136" s="159">
        <v>8782</v>
      </c>
      <c r="J136" s="107" t="str">
        <f t="shared" ref="J136" si="46">IF(OR(D136="",D136="-"),"",CONCATENATE("SPT",K136,"/",N136,L136,".",M136))</f>
        <v>SPT18DC/RSPT_GGIO3.AnIn1</v>
      </c>
      <c r="K136" s="177" t="str">
        <f t="shared" ref="K136:K137" si="47">K135</f>
        <v>18DC</v>
      </c>
      <c r="L136" s="180" t="s">
        <v>246</v>
      </c>
      <c r="M136" s="142" t="s">
        <v>51</v>
      </c>
      <c r="N136" s="179" t="s">
        <v>561</v>
      </c>
      <c r="O136" s="110"/>
      <c r="P136" s="117"/>
      <c r="Q136" s="110"/>
      <c r="R136" s="110"/>
      <c r="S136" s="110"/>
      <c r="T136" s="110"/>
      <c r="U136" s="110"/>
      <c r="V136" s="110"/>
      <c r="W136" s="110"/>
      <c r="X136" s="110"/>
    </row>
    <row r="137" spans="1:24" x14ac:dyDescent="0.3">
      <c r="A137" s="217">
        <v>24</v>
      </c>
      <c r="B137" s="219" t="s">
        <v>3</v>
      </c>
      <c r="C137" s="219" t="s">
        <v>16</v>
      </c>
      <c r="D137" s="107" t="s">
        <v>687</v>
      </c>
      <c r="E137" s="129" t="s">
        <v>35</v>
      </c>
      <c r="F137" s="141" t="s">
        <v>30</v>
      </c>
      <c r="G137" s="286"/>
      <c r="H137" s="215" t="s">
        <v>3</v>
      </c>
      <c r="I137" s="115">
        <v>8774</v>
      </c>
      <c r="J137" s="107" t="str">
        <f t="shared" ref="J137" si="48">IF(OR(D137="",D137="-"),"",CONCATENATE("SPT",K137,"/",N137,L137,".",M137))</f>
        <v>SPT18DC/RSPT_MMXN1.Vol</v>
      </c>
      <c r="K137" s="177" t="str">
        <f t="shared" si="47"/>
        <v>18DC</v>
      </c>
      <c r="L137" s="180" t="s">
        <v>256</v>
      </c>
      <c r="M137" s="110" t="s">
        <v>267</v>
      </c>
      <c r="N137" s="179" t="s">
        <v>561</v>
      </c>
      <c r="O137" s="110" t="s">
        <v>73</v>
      </c>
      <c r="P137" s="117"/>
      <c r="Q137" s="110"/>
      <c r="R137" s="110"/>
      <c r="S137" s="110"/>
      <c r="T137" s="110"/>
      <c r="U137" s="110"/>
      <c r="V137" s="110"/>
      <c r="W137" s="110"/>
      <c r="X137" s="110"/>
    </row>
    <row r="138" spans="1:24" x14ac:dyDescent="0.3">
      <c r="A138" s="287"/>
      <c r="B138" s="288"/>
      <c r="C138" s="288"/>
      <c r="D138" s="288"/>
      <c r="E138" s="288"/>
      <c r="F138" s="288"/>
      <c r="G138" s="288"/>
      <c r="H138" s="288"/>
      <c r="I138" s="288"/>
      <c r="J138" s="289"/>
      <c r="K138" s="103"/>
      <c r="L138" s="104"/>
      <c r="M138" s="82"/>
      <c r="N138" s="82"/>
      <c r="O138" s="82"/>
      <c r="P138" s="98"/>
      <c r="Q138" s="82"/>
      <c r="R138" s="82"/>
      <c r="S138" s="82"/>
      <c r="T138" s="82"/>
      <c r="U138" s="82"/>
      <c r="V138" s="82"/>
      <c r="W138" s="82"/>
      <c r="X138" s="82"/>
    </row>
    <row r="139" spans="1:24" x14ac:dyDescent="0.3">
      <c r="A139" s="327" t="s">
        <v>677</v>
      </c>
      <c r="B139" s="328"/>
      <c r="C139" s="328"/>
      <c r="D139" s="328"/>
      <c r="E139" s="328"/>
      <c r="F139" s="328"/>
      <c r="G139" s="328"/>
      <c r="H139" s="328"/>
      <c r="I139" s="328"/>
      <c r="J139" s="329"/>
      <c r="K139" s="223"/>
      <c r="L139" s="104"/>
      <c r="M139" s="82"/>
      <c r="N139" s="272"/>
      <c r="O139" s="272"/>
      <c r="P139" s="272"/>
      <c r="Q139" s="272"/>
      <c r="R139" s="272"/>
      <c r="S139" s="272"/>
      <c r="T139" s="272"/>
      <c r="U139" s="272"/>
      <c r="V139" s="272"/>
      <c r="W139" s="272"/>
      <c r="X139" s="127"/>
    </row>
    <row r="140" spans="1:24" x14ac:dyDescent="0.3">
      <c r="A140" s="303">
        <v>14</v>
      </c>
      <c r="B140" s="219" t="s">
        <v>3</v>
      </c>
      <c r="C140" s="129" t="s">
        <v>12</v>
      </c>
      <c r="D140" s="136" t="s">
        <v>79</v>
      </c>
      <c r="E140" s="129" t="s">
        <v>35</v>
      </c>
      <c r="F140" s="271" t="s">
        <v>30</v>
      </c>
      <c r="G140" s="269" t="s">
        <v>353</v>
      </c>
      <c r="H140" s="269" t="s">
        <v>3</v>
      </c>
      <c r="I140" s="115">
        <v>8752</v>
      </c>
      <c r="J140" s="92" t="str">
        <f>IF(OR(D140="",D140="-"),"",CONCATENATE("SPT",K140,"/",N140,L140,".",M140))</f>
        <v>SPT18SKI/SKI_ANGGIO1.AnIn1</v>
      </c>
      <c r="K140" s="182" t="s">
        <v>792</v>
      </c>
      <c r="L140" s="178" t="s">
        <v>244</v>
      </c>
      <c r="M140" s="110" t="s">
        <v>51</v>
      </c>
      <c r="N140" s="181" t="s">
        <v>526</v>
      </c>
      <c r="O140" s="160"/>
      <c r="P140" s="160"/>
      <c r="Q140" s="160"/>
      <c r="R140" s="160"/>
      <c r="S140" s="160"/>
      <c r="T140" s="160"/>
      <c r="U140" s="160"/>
      <c r="V140" s="160"/>
      <c r="W140" s="160"/>
      <c r="X140" s="127"/>
    </row>
    <row r="141" spans="1:24" x14ac:dyDescent="0.3">
      <c r="A141" s="304"/>
      <c r="B141" s="219" t="s">
        <v>3</v>
      </c>
      <c r="C141" s="129" t="s">
        <v>16</v>
      </c>
      <c r="D141" s="136" t="s">
        <v>67</v>
      </c>
      <c r="E141" s="129" t="s">
        <v>35</v>
      </c>
      <c r="F141" s="271"/>
      <c r="G141" s="269"/>
      <c r="H141" s="269"/>
      <c r="I141" s="115">
        <v>8758</v>
      </c>
      <c r="J141" s="92" t="str">
        <f t="shared" ref="J141:J175" si="49">IF(OR(D141="",D141="-"),"",CONCATENATE("SPT",K141,"/",N141,L141,".",M141))</f>
        <v>SPT18SKI/SKI_ANGGIO1.AnIn2</v>
      </c>
      <c r="K141" s="137" t="str">
        <f>K140</f>
        <v>18SKI</v>
      </c>
      <c r="L141" s="112" t="str">
        <f>L140</f>
        <v>GGIO1</v>
      </c>
      <c r="M141" s="110" t="s">
        <v>52</v>
      </c>
      <c r="N141" s="119" t="str">
        <f>N140</f>
        <v>SKI_AN</v>
      </c>
      <c r="O141" s="120"/>
      <c r="P141" s="121"/>
      <c r="Q141" s="122"/>
      <c r="R141" s="122"/>
      <c r="S141" s="224"/>
      <c r="T141" s="124"/>
      <c r="U141" s="125"/>
      <c r="V141" s="126"/>
      <c r="W141" s="122"/>
      <c r="X141" s="127"/>
    </row>
    <row r="142" spans="1:24" x14ac:dyDescent="0.3">
      <c r="A142" s="304"/>
      <c r="B142" s="219" t="s">
        <v>3</v>
      </c>
      <c r="C142" s="129" t="s">
        <v>18</v>
      </c>
      <c r="D142" s="136" t="s">
        <v>68</v>
      </c>
      <c r="E142" s="129" t="s">
        <v>35</v>
      </c>
      <c r="F142" s="271"/>
      <c r="G142" s="269"/>
      <c r="H142" s="269"/>
      <c r="I142" s="115">
        <v>8760</v>
      </c>
      <c r="J142" s="92" t="str">
        <f t="shared" si="49"/>
        <v>SPT18SKI/SKI_ANGGIO1.AnIn3</v>
      </c>
      <c r="K142" s="137" t="str">
        <f t="shared" ref="K142:L157" si="50">K141</f>
        <v>18SKI</v>
      </c>
      <c r="L142" s="112" t="str">
        <f t="shared" si="50"/>
        <v>GGIO1</v>
      </c>
      <c r="M142" s="110" t="s">
        <v>53</v>
      </c>
      <c r="N142" s="119" t="str">
        <f t="shared" ref="N142:N144" si="51">N141</f>
        <v>SKI_AN</v>
      </c>
      <c r="O142" s="120"/>
      <c r="P142" s="121"/>
      <c r="Q142" s="122"/>
      <c r="R142" s="122"/>
      <c r="S142" s="224"/>
      <c r="T142" s="124"/>
      <c r="U142" s="125"/>
      <c r="V142" s="126"/>
      <c r="W142" s="122"/>
      <c r="X142" s="127"/>
    </row>
    <row r="143" spans="1:24" x14ac:dyDescent="0.3">
      <c r="A143" s="304"/>
      <c r="B143" s="219" t="s">
        <v>3</v>
      </c>
      <c r="C143" s="129" t="s">
        <v>22</v>
      </c>
      <c r="D143" s="136" t="s">
        <v>69</v>
      </c>
      <c r="E143" s="129" t="s">
        <v>35</v>
      </c>
      <c r="F143" s="271"/>
      <c r="G143" s="269"/>
      <c r="H143" s="269"/>
      <c r="I143" s="115">
        <v>8764</v>
      </c>
      <c r="J143" s="92" t="str">
        <f t="shared" si="49"/>
        <v>SPT18SKI/SKI_ANGGIO1.AnIn4</v>
      </c>
      <c r="K143" s="137" t="str">
        <f t="shared" si="50"/>
        <v>18SKI</v>
      </c>
      <c r="L143" s="112" t="str">
        <f t="shared" si="50"/>
        <v>GGIO1</v>
      </c>
      <c r="M143" s="110" t="s">
        <v>54</v>
      </c>
      <c r="N143" s="119" t="str">
        <f t="shared" si="51"/>
        <v>SKI_AN</v>
      </c>
      <c r="O143" s="120"/>
      <c r="P143" s="121"/>
      <c r="Q143" s="122"/>
      <c r="R143" s="122"/>
      <c r="S143" s="224"/>
      <c r="T143" s="124"/>
      <c r="U143" s="125"/>
      <c r="V143" s="126"/>
      <c r="W143" s="122"/>
      <c r="X143" s="127"/>
    </row>
    <row r="144" spans="1:24" x14ac:dyDescent="0.3">
      <c r="A144" s="304"/>
      <c r="B144" s="219" t="s">
        <v>3</v>
      </c>
      <c r="C144" s="129" t="s">
        <v>24</v>
      </c>
      <c r="D144" s="136" t="s">
        <v>70</v>
      </c>
      <c r="E144" s="129" t="s">
        <v>35</v>
      </c>
      <c r="F144" s="271"/>
      <c r="G144" s="269"/>
      <c r="H144" s="269"/>
      <c r="I144" s="115">
        <v>8766</v>
      </c>
      <c r="J144" s="92" t="str">
        <f t="shared" si="49"/>
        <v>SPT18SKI/SKI_ANGGIO1.AnIn5</v>
      </c>
      <c r="K144" s="137" t="str">
        <f t="shared" si="50"/>
        <v>18SKI</v>
      </c>
      <c r="L144" s="112" t="str">
        <f t="shared" si="50"/>
        <v>GGIO1</v>
      </c>
      <c r="M144" s="110" t="s">
        <v>77</v>
      </c>
      <c r="N144" s="119" t="str">
        <f t="shared" si="51"/>
        <v>SKI_AN</v>
      </c>
      <c r="O144" s="120"/>
      <c r="P144" s="121"/>
      <c r="Q144" s="122"/>
      <c r="R144" s="122"/>
      <c r="S144" s="224"/>
      <c r="T144" s="124"/>
      <c r="U144" s="125"/>
      <c r="V144" s="126"/>
      <c r="W144" s="122"/>
      <c r="X144" s="127"/>
    </row>
    <row r="145" spans="1:24" x14ac:dyDescent="0.3">
      <c r="A145" s="304"/>
      <c r="B145" s="271" t="s">
        <v>59</v>
      </c>
      <c r="C145" s="129" t="s">
        <v>715</v>
      </c>
      <c r="D145" s="136" t="s">
        <v>81</v>
      </c>
      <c r="E145" s="129" t="s">
        <v>4</v>
      </c>
      <c r="F145" s="431" t="s">
        <v>28</v>
      </c>
      <c r="G145" s="269"/>
      <c r="H145" s="269" t="s">
        <v>59</v>
      </c>
      <c r="I145" s="432">
        <v>4545</v>
      </c>
      <c r="J145" s="92" t="str">
        <f t="shared" si="49"/>
        <v>SPT18SKI/SKI_DOGGIO2.Alm1</v>
      </c>
      <c r="K145" s="182" t="str">
        <f t="shared" si="50"/>
        <v>18SKI</v>
      </c>
      <c r="L145" s="178" t="s">
        <v>245</v>
      </c>
      <c r="M145" s="108" t="s">
        <v>37</v>
      </c>
      <c r="N145" s="181" t="s">
        <v>460</v>
      </c>
      <c r="O145" s="120"/>
      <c r="P145" s="121"/>
      <c r="Q145" s="122"/>
      <c r="R145" s="122"/>
      <c r="S145" s="82">
        <f t="shared" ref="S145:S152" si="52">I145-4095</f>
        <v>450</v>
      </c>
      <c r="T145" s="82" t="str">
        <f t="shared" ref="T145:T152" si="53">_xlfn.CONCAT($T$1,S145)</f>
        <v>lb_dd450</v>
      </c>
      <c r="U145" s="125"/>
      <c r="V145" s="126"/>
      <c r="W145" s="122"/>
      <c r="X145" s="127"/>
    </row>
    <row r="146" spans="1:24" x14ac:dyDescent="0.3">
      <c r="A146" s="304"/>
      <c r="B146" s="271"/>
      <c r="C146" s="129" t="s">
        <v>720</v>
      </c>
      <c r="D146" s="136" t="s">
        <v>83</v>
      </c>
      <c r="E146" s="129" t="s">
        <v>4</v>
      </c>
      <c r="F146" s="431"/>
      <c r="G146" s="269"/>
      <c r="H146" s="269"/>
      <c r="I146" s="432">
        <v>4546</v>
      </c>
      <c r="J146" s="92" t="str">
        <f t="shared" si="49"/>
        <v>SPT18SKI/SKI_DOGGIO2.Alm2</v>
      </c>
      <c r="K146" s="137" t="str">
        <f t="shared" si="50"/>
        <v>18SKI</v>
      </c>
      <c r="L146" s="112" t="str">
        <f>L145</f>
        <v>GGIO2</v>
      </c>
      <c r="M146" s="108" t="s">
        <v>39</v>
      </c>
      <c r="N146" s="119" t="str">
        <f>N145</f>
        <v>SKI_DO</v>
      </c>
      <c r="O146" s="120"/>
      <c r="P146" s="121"/>
      <c r="Q146" s="122"/>
      <c r="R146" s="122"/>
      <c r="S146" s="82">
        <f t="shared" si="52"/>
        <v>451</v>
      </c>
      <c r="T146" s="82" t="str">
        <f t="shared" si="53"/>
        <v>lb_dd451</v>
      </c>
      <c r="U146" s="125"/>
      <c r="V146" s="126"/>
      <c r="W146" s="122"/>
      <c r="X146" s="127"/>
    </row>
    <row r="147" spans="1:24" x14ac:dyDescent="0.3">
      <c r="A147" s="304"/>
      <c r="B147" s="271"/>
      <c r="C147" s="129" t="s">
        <v>721</v>
      </c>
      <c r="D147" s="136" t="s">
        <v>74</v>
      </c>
      <c r="E147" s="129" t="s">
        <v>4</v>
      </c>
      <c r="F147" s="431"/>
      <c r="G147" s="269"/>
      <c r="H147" s="269"/>
      <c r="I147" s="432">
        <v>4548</v>
      </c>
      <c r="J147" s="92" t="str">
        <f t="shared" si="49"/>
        <v>SPT18SKI/SKI_DOGGIO2.Alm3</v>
      </c>
      <c r="K147" s="137" t="str">
        <f t="shared" si="50"/>
        <v>18SKI</v>
      </c>
      <c r="L147" s="112" t="str">
        <f t="shared" si="50"/>
        <v>GGIO2</v>
      </c>
      <c r="M147" s="108" t="s">
        <v>41</v>
      </c>
      <c r="N147" s="119" t="str">
        <f t="shared" ref="N147:N200" si="54">N146</f>
        <v>SKI_DO</v>
      </c>
      <c r="O147" s="120"/>
      <c r="P147" s="121"/>
      <c r="Q147" s="122"/>
      <c r="R147" s="122"/>
      <c r="S147" s="82">
        <f t="shared" si="52"/>
        <v>453</v>
      </c>
      <c r="T147" s="82" t="str">
        <f t="shared" si="53"/>
        <v>lb_dd453</v>
      </c>
      <c r="U147" s="125"/>
      <c r="V147" s="126"/>
      <c r="W147" s="122"/>
      <c r="X147" s="127"/>
    </row>
    <row r="148" spans="1:24" x14ac:dyDescent="0.3">
      <c r="A148" s="304"/>
      <c r="B148" s="271"/>
      <c r="C148" s="129" t="s">
        <v>722</v>
      </c>
      <c r="D148" s="136" t="s">
        <v>91</v>
      </c>
      <c r="E148" s="129" t="s">
        <v>4</v>
      </c>
      <c r="F148" s="431"/>
      <c r="G148" s="269"/>
      <c r="H148" s="269"/>
      <c r="I148" s="432">
        <v>4549</v>
      </c>
      <c r="J148" s="92" t="str">
        <f t="shared" si="49"/>
        <v>SPT18SKI/SKI_DOGGIO2.Alm4</v>
      </c>
      <c r="K148" s="137" t="str">
        <f t="shared" si="50"/>
        <v>18SKI</v>
      </c>
      <c r="L148" s="112" t="str">
        <f t="shared" si="50"/>
        <v>GGIO2</v>
      </c>
      <c r="M148" s="108" t="s">
        <v>43</v>
      </c>
      <c r="N148" s="119" t="str">
        <f t="shared" si="54"/>
        <v>SKI_DO</v>
      </c>
      <c r="O148" s="120"/>
      <c r="P148" s="121"/>
      <c r="Q148" s="122"/>
      <c r="R148" s="122"/>
      <c r="S148" s="82">
        <f t="shared" si="52"/>
        <v>454</v>
      </c>
      <c r="T148" s="82" t="str">
        <f t="shared" si="53"/>
        <v>lb_dd454</v>
      </c>
      <c r="U148" s="125"/>
      <c r="V148" s="126"/>
      <c r="W148" s="122"/>
      <c r="X148" s="127"/>
    </row>
    <row r="149" spans="1:24" x14ac:dyDescent="0.3">
      <c r="A149" s="304"/>
      <c r="B149" s="271"/>
      <c r="C149" s="138" t="s">
        <v>719</v>
      </c>
      <c r="D149" s="136" t="s">
        <v>87</v>
      </c>
      <c r="E149" s="136" t="s">
        <v>4</v>
      </c>
      <c r="F149" s="431"/>
      <c r="G149" s="269"/>
      <c r="H149" s="269"/>
      <c r="I149" s="432">
        <v>4554</v>
      </c>
      <c r="J149" s="92" t="str">
        <f t="shared" si="49"/>
        <v>SPT18SKI/SKI_DOGGIO2.Alm5</v>
      </c>
      <c r="K149" s="137" t="str">
        <f t="shared" si="50"/>
        <v>18SKI</v>
      </c>
      <c r="L149" s="112" t="str">
        <f t="shared" si="50"/>
        <v>GGIO2</v>
      </c>
      <c r="M149" s="108" t="s">
        <v>45</v>
      </c>
      <c r="N149" s="119" t="str">
        <f t="shared" si="54"/>
        <v>SKI_DO</v>
      </c>
      <c r="O149" s="120"/>
      <c r="P149" s="121"/>
      <c r="Q149" s="122"/>
      <c r="R149" s="122"/>
      <c r="S149" s="82">
        <f t="shared" si="52"/>
        <v>459</v>
      </c>
      <c r="T149" s="82" t="str">
        <f t="shared" si="53"/>
        <v>lb_dd459</v>
      </c>
      <c r="U149" s="125"/>
      <c r="V149" s="126"/>
      <c r="W149" s="122"/>
      <c r="X149" s="127"/>
    </row>
    <row r="150" spans="1:24" x14ac:dyDescent="0.3">
      <c r="A150" s="304"/>
      <c r="B150" s="271"/>
      <c r="C150" s="138" t="s">
        <v>716</v>
      </c>
      <c r="D150" s="136" t="s">
        <v>88</v>
      </c>
      <c r="E150" s="136" t="s">
        <v>4</v>
      </c>
      <c r="F150" s="431"/>
      <c r="G150" s="269"/>
      <c r="H150" s="269"/>
      <c r="I150" s="432">
        <v>4555</v>
      </c>
      <c r="J150" s="92" t="str">
        <f t="shared" si="49"/>
        <v>SPT18SKI/SKI_DOGGIO2.Alm6</v>
      </c>
      <c r="K150" s="137" t="str">
        <f t="shared" si="50"/>
        <v>18SKI</v>
      </c>
      <c r="L150" s="112" t="str">
        <f t="shared" si="50"/>
        <v>GGIO2</v>
      </c>
      <c r="M150" s="108" t="s">
        <v>47</v>
      </c>
      <c r="N150" s="119" t="str">
        <f t="shared" si="54"/>
        <v>SKI_DO</v>
      </c>
      <c r="O150" s="120"/>
      <c r="P150" s="121"/>
      <c r="Q150" s="122"/>
      <c r="R150" s="122"/>
      <c r="S150" s="82">
        <f t="shared" si="52"/>
        <v>460</v>
      </c>
      <c r="T150" s="82" t="str">
        <f t="shared" si="53"/>
        <v>lb_dd460</v>
      </c>
      <c r="U150" s="125"/>
      <c r="V150" s="126"/>
      <c r="W150" s="122"/>
      <c r="X150" s="127"/>
    </row>
    <row r="151" spans="1:24" ht="14.4" customHeight="1" x14ac:dyDescent="0.3">
      <c r="A151" s="304"/>
      <c r="B151" s="271"/>
      <c r="C151" s="138" t="s">
        <v>717</v>
      </c>
      <c r="D151" s="139" t="s">
        <v>75</v>
      </c>
      <c r="E151" s="136" t="s">
        <v>4</v>
      </c>
      <c r="F151" s="431"/>
      <c r="G151" s="269"/>
      <c r="H151" s="269"/>
      <c r="I151" s="432">
        <v>4557</v>
      </c>
      <c r="J151" s="92" t="str">
        <f t="shared" si="49"/>
        <v>SPT18SKI/SKI_DOGGIO2.Alm7</v>
      </c>
      <c r="K151" s="137" t="str">
        <f t="shared" si="50"/>
        <v>18SKI</v>
      </c>
      <c r="L151" s="112" t="str">
        <f t="shared" si="50"/>
        <v>GGIO2</v>
      </c>
      <c r="M151" s="108" t="s">
        <v>49</v>
      </c>
      <c r="N151" s="119" t="str">
        <f t="shared" si="54"/>
        <v>SKI_DO</v>
      </c>
      <c r="O151" s="120"/>
      <c r="P151" s="121"/>
      <c r="Q151" s="122"/>
      <c r="R151" s="122"/>
      <c r="S151" s="82">
        <f t="shared" si="52"/>
        <v>462</v>
      </c>
      <c r="T151" s="82" t="str">
        <f t="shared" si="53"/>
        <v>lb_dd462</v>
      </c>
      <c r="U151" s="125"/>
      <c r="V151" s="126"/>
      <c r="W151" s="122"/>
      <c r="X151" s="127"/>
    </row>
    <row r="152" spans="1:24" ht="15" customHeight="1" x14ac:dyDescent="0.3">
      <c r="A152" s="304"/>
      <c r="B152" s="271"/>
      <c r="C152" s="138" t="s">
        <v>718</v>
      </c>
      <c r="D152" s="139" t="s">
        <v>89</v>
      </c>
      <c r="E152" s="136" t="s">
        <v>4</v>
      </c>
      <c r="F152" s="431"/>
      <c r="G152" s="269"/>
      <c r="H152" s="269"/>
      <c r="I152" s="432">
        <v>4558</v>
      </c>
      <c r="J152" s="92" t="str">
        <f t="shared" si="49"/>
        <v>SPT18SKI/SKI_DOGGIO2.Alm8</v>
      </c>
      <c r="K152" s="137" t="str">
        <f t="shared" si="50"/>
        <v>18SKI</v>
      </c>
      <c r="L152" s="112" t="str">
        <f t="shared" si="50"/>
        <v>GGIO2</v>
      </c>
      <c r="M152" s="108" t="s">
        <v>56</v>
      </c>
      <c r="N152" s="119" t="str">
        <f t="shared" si="54"/>
        <v>SKI_DO</v>
      </c>
      <c r="O152" s="120"/>
      <c r="P152" s="121"/>
      <c r="Q152" s="122"/>
      <c r="R152" s="122"/>
      <c r="S152" s="82">
        <f t="shared" si="52"/>
        <v>463</v>
      </c>
      <c r="T152" s="82" t="str">
        <f t="shared" si="53"/>
        <v>lb_dd463</v>
      </c>
      <c r="U152" s="125"/>
      <c r="V152" s="126"/>
      <c r="W152" s="122"/>
      <c r="X152" s="127"/>
    </row>
    <row r="153" spans="1:24" ht="18" customHeight="1" x14ac:dyDescent="0.3">
      <c r="A153" s="304"/>
      <c r="B153" s="271"/>
      <c r="C153" s="87" t="s">
        <v>461</v>
      </c>
      <c r="D153" s="90" t="str">
        <f>CONCATENATE("Авария. Утечка фидера ",S153,". 1QSF",S153)</f>
        <v>Авария. Утечка фидера 1. 1QSF1</v>
      </c>
      <c r="E153" s="136" t="s">
        <v>4</v>
      </c>
      <c r="F153" s="431"/>
      <c r="G153" s="269"/>
      <c r="H153" s="269"/>
      <c r="I153" s="432">
        <v>4559</v>
      </c>
      <c r="J153" s="92" t="str">
        <f t="shared" si="49"/>
        <v>SPT18SKI/SKI_DOGGIO2.Alm9</v>
      </c>
      <c r="K153" s="137" t="str">
        <f>K152</f>
        <v>18SKI</v>
      </c>
      <c r="L153" s="112" t="str">
        <f>L152</f>
        <v>GGIO2</v>
      </c>
      <c r="M153" s="108" t="s">
        <v>217</v>
      </c>
      <c r="N153" s="119" t="str">
        <f>N152</f>
        <v>SKI_DO</v>
      </c>
      <c r="O153" s="120"/>
      <c r="P153" s="121"/>
      <c r="Q153" s="122"/>
      <c r="R153" s="122"/>
      <c r="S153" s="82">
        <v>1</v>
      </c>
      <c r="T153" s="82"/>
      <c r="U153" s="125"/>
      <c r="V153" s="126"/>
      <c r="W153" s="122"/>
      <c r="X153" s="127"/>
    </row>
    <row r="154" spans="1:24" x14ac:dyDescent="0.3">
      <c r="A154" s="304"/>
      <c r="B154" s="271"/>
      <c r="C154" s="87" t="s">
        <v>462</v>
      </c>
      <c r="D154" s="90" t="str">
        <f>CONCATENATE("Авария. Утечка фидера ",S154,". 1QSF",S154)</f>
        <v>Авария. Утечка фидера 2. 1QSF2</v>
      </c>
      <c r="E154" s="136" t="s">
        <v>4</v>
      </c>
      <c r="F154" s="431"/>
      <c r="G154" s="269"/>
      <c r="H154" s="269"/>
      <c r="I154" s="432">
        <v>4560</v>
      </c>
      <c r="J154" s="92" t="str">
        <f t="shared" si="49"/>
        <v>SPT18SKI/SKI_DOGGIO2.Alm10</v>
      </c>
      <c r="K154" s="137" t="str">
        <f t="shared" si="50"/>
        <v>18SKI</v>
      </c>
      <c r="L154" s="112" t="str">
        <f t="shared" si="50"/>
        <v>GGIO2</v>
      </c>
      <c r="M154" s="108" t="s">
        <v>218</v>
      </c>
      <c r="N154" s="119" t="str">
        <f t="shared" si="54"/>
        <v>SKI_DO</v>
      </c>
      <c r="O154" s="120"/>
      <c r="Q154" s="427"/>
      <c r="R154" s="122"/>
      <c r="S154" s="82">
        <f>S153+1</f>
        <v>2</v>
      </c>
      <c r="T154" s="82"/>
      <c r="U154" s="125"/>
      <c r="V154" s="126"/>
      <c r="W154" s="122"/>
      <c r="X154" s="127"/>
    </row>
    <row r="155" spans="1:24" x14ac:dyDescent="0.3">
      <c r="A155" s="304"/>
      <c r="B155" s="271"/>
      <c r="C155" s="87" t="s">
        <v>463</v>
      </c>
      <c r="D155" s="90" t="str">
        <f t="shared" ref="D155:D200" si="55">CONCATENATE("Авария. Утечка фидера ",S155,". 1QSF",S155)</f>
        <v>Авария. Утечка фидера 3. 1QSF3</v>
      </c>
      <c r="E155" s="136" t="s">
        <v>4</v>
      </c>
      <c r="F155" s="431"/>
      <c r="G155" s="269"/>
      <c r="H155" s="269"/>
      <c r="I155" s="432">
        <v>4561</v>
      </c>
      <c r="J155" s="92" t="str">
        <f t="shared" si="49"/>
        <v>SPT18SKI/SKI_DOGGIO2.Alm11</v>
      </c>
      <c r="K155" s="137" t="str">
        <f t="shared" si="50"/>
        <v>18SKI</v>
      </c>
      <c r="L155" s="112" t="str">
        <f t="shared" si="50"/>
        <v>GGIO2</v>
      </c>
      <c r="M155" s="108" t="s">
        <v>219</v>
      </c>
      <c r="N155" s="119" t="str">
        <f t="shared" si="54"/>
        <v>SKI_DO</v>
      </c>
      <c r="O155" s="120"/>
      <c r="P155" s="121"/>
      <c r="Q155" s="122"/>
      <c r="R155" s="122"/>
      <c r="S155" s="82">
        <f t="shared" ref="S155:S200" si="56">S154+1</f>
        <v>3</v>
      </c>
      <c r="T155" s="82"/>
      <c r="U155" s="125"/>
      <c r="V155" s="126"/>
      <c r="W155" s="122"/>
      <c r="X155" s="127"/>
    </row>
    <row r="156" spans="1:24" x14ac:dyDescent="0.3">
      <c r="A156" s="304"/>
      <c r="B156" s="271"/>
      <c r="C156" s="87" t="s">
        <v>464</v>
      </c>
      <c r="D156" s="90" t="str">
        <f t="shared" si="55"/>
        <v>Авария. Утечка фидера 4. 1QSF4</v>
      </c>
      <c r="E156" s="136" t="s">
        <v>4</v>
      </c>
      <c r="F156" s="431"/>
      <c r="G156" s="269"/>
      <c r="H156" s="269"/>
      <c r="I156" s="432">
        <v>4562</v>
      </c>
      <c r="J156" s="92" t="str">
        <f t="shared" si="49"/>
        <v>SPT18SKI/SKI_DOGGIO2.Alm12</v>
      </c>
      <c r="K156" s="137" t="str">
        <f t="shared" si="50"/>
        <v>18SKI</v>
      </c>
      <c r="L156" s="112" t="str">
        <f t="shared" si="50"/>
        <v>GGIO2</v>
      </c>
      <c r="M156" s="108" t="s">
        <v>220</v>
      </c>
      <c r="N156" s="119" t="str">
        <f t="shared" si="54"/>
        <v>SKI_DO</v>
      </c>
      <c r="O156" s="120"/>
      <c r="P156" s="121"/>
      <c r="Q156" s="122"/>
      <c r="R156" s="122"/>
      <c r="S156" s="82">
        <f t="shared" si="56"/>
        <v>4</v>
      </c>
      <c r="T156" s="82"/>
      <c r="U156" s="125"/>
      <c r="V156" s="126"/>
      <c r="W156" s="122"/>
      <c r="X156" s="127"/>
    </row>
    <row r="157" spans="1:24" x14ac:dyDescent="0.3">
      <c r="A157" s="304"/>
      <c r="B157" s="271"/>
      <c r="C157" s="87" t="s">
        <v>465</v>
      </c>
      <c r="D157" s="90" t="str">
        <f t="shared" si="55"/>
        <v>Авария. Утечка фидера 5. 1QSF5</v>
      </c>
      <c r="E157" s="136" t="s">
        <v>4</v>
      </c>
      <c r="F157" s="431"/>
      <c r="G157" s="269"/>
      <c r="H157" s="269"/>
      <c r="I157" s="432">
        <v>4563</v>
      </c>
      <c r="J157" s="92" t="str">
        <f t="shared" si="49"/>
        <v>SPT18SKI/SKI_DOGGIO2.Alm13</v>
      </c>
      <c r="K157" s="137" t="str">
        <f t="shared" si="50"/>
        <v>18SKI</v>
      </c>
      <c r="L157" s="112" t="str">
        <f t="shared" si="50"/>
        <v>GGIO2</v>
      </c>
      <c r="M157" s="108" t="s">
        <v>221</v>
      </c>
      <c r="N157" s="119" t="str">
        <f t="shared" si="54"/>
        <v>SKI_DO</v>
      </c>
      <c r="O157" s="120"/>
      <c r="P157" s="121"/>
      <c r="Q157" s="122"/>
      <c r="R157" s="122"/>
      <c r="S157" s="82">
        <f t="shared" si="56"/>
        <v>5</v>
      </c>
      <c r="T157" s="82"/>
      <c r="U157" s="125"/>
      <c r="V157" s="126"/>
      <c r="W157" s="122"/>
      <c r="X157" s="127"/>
    </row>
    <row r="158" spans="1:24" x14ac:dyDescent="0.3">
      <c r="A158" s="304"/>
      <c r="B158" s="271"/>
      <c r="C158" s="87" t="s">
        <v>466</v>
      </c>
      <c r="D158" s="90" t="str">
        <f t="shared" si="55"/>
        <v>Авария. Утечка фидера 6. 1QSF6</v>
      </c>
      <c r="E158" s="136" t="s">
        <v>4</v>
      </c>
      <c r="F158" s="431"/>
      <c r="G158" s="269"/>
      <c r="H158" s="269"/>
      <c r="I158" s="432">
        <v>4564</v>
      </c>
      <c r="J158" s="92" t="str">
        <f t="shared" si="49"/>
        <v>SPT18SKI/SKI_DOGGIO2.Alm14</v>
      </c>
      <c r="K158" s="137" t="str">
        <f t="shared" ref="K158:L172" si="57">K157</f>
        <v>18SKI</v>
      </c>
      <c r="L158" s="112" t="str">
        <f t="shared" si="57"/>
        <v>GGIO2</v>
      </c>
      <c r="M158" s="108" t="s">
        <v>222</v>
      </c>
      <c r="N158" s="119" t="str">
        <f t="shared" si="54"/>
        <v>SKI_DO</v>
      </c>
      <c r="O158" s="120"/>
      <c r="P158" s="121"/>
      <c r="Q158" s="122"/>
      <c r="R158" s="122"/>
      <c r="S158" s="82">
        <f t="shared" si="56"/>
        <v>6</v>
      </c>
      <c r="T158" s="82"/>
      <c r="U158" s="125"/>
      <c r="V158" s="126"/>
      <c r="W158" s="122"/>
      <c r="X158" s="127"/>
    </row>
    <row r="159" spans="1:24" x14ac:dyDescent="0.3">
      <c r="A159" s="304"/>
      <c r="B159" s="271"/>
      <c r="C159" s="87" t="s">
        <v>467</v>
      </c>
      <c r="D159" s="90" t="str">
        <f t="shared" si="55"/>
        <v>Авария. Утечка фидера 7. 1QSF7</v>
      </c>
      <c r="E159" s="136" t="s">
        <v>4</v>
      </c>
      <c r="F159" s="431"/>
      <c r="G159" s="269"/>
      <c r="H159" s="269"/>
      <c r="I159" s="432">
        <v>4565</v>
      </c>
      <c r="J159" s="92" t="str">
        <f t="shared" si="49"/>
        <v>SPT18SKI/SKI_DOGGIO2.Alm15</v>
      </c>
      <c r="K159" s="137" t="str">
        <f t="shared" si="57"/>
        <v>18SKI</v>
      </c>
      <c r="L159" s="112" t="str">
        <f t="shared" si="57"/>
        <v>GGIO2</v>
      </c>
      <c r="M159" s="108" t="s">
        <v>223</v>
      </c>
      <c r="N159" s="119" t="str">
        <f t="shared" si="54"/>
        <v>SKI_DO</v>
      </c>
      <c r="O159" s="120"/>
      <c r="P159" s="121"/>
      <c r="Q159" s="122"/>
      <c r="R159" s="122"/>
      <c r="S159" s="82">
        <f t="shared" si="56"/>
        <v>7</v>
      </c>
      <c r="T159" s="82"/>
      <c r="U159" s="125"/>
      <c r="V159" s="126"/>
      <c r="W159" s="122"/>
      <c r="X159" s="127"/>
    </row>
    <row r="160" spans="1:24" x14ac:dyDescent="0.3">
      <c r="A160" s="304"/>
      <c r="B160" s="271"/>
      <c r="C160" s="87" t="s">
        <v>468</v>
      </c>
      <c r="D160" s="90" t="str">
        <f t="shared" si="55"/>
        <v>Авария. Утечка фидера 8. 1QSF8</v>
      </c>
      <c r="E160" s="136" t="s">
        <v>4</v>
      </c>
      <c r="F160" s="431"/>
      <c r="G160" s="269"/>
      <c r="H160" s="269"/>
      <c r="I160" s="432">
        <v>4566</v>
      </c>
      <c r="J160" s="92" t="str">
        <f t="shared" si="49"/>
        <v>SPT18SKI/SKI_DOGGIO2.Alm16</v>
      </c>
      <c r="K160" s="137" t="str">
        <f t="shared" si="57"/>
        <v>18SKI</v>
      </c>
      <c r="L160" s="112" t="str">
        <f t="shared" si="57"/>
        <v>GGIO2</v>
      </c>
      <c r="M160" s="108" t="s">
        <v>224</v>
      </c>
      <c r="N160" s="119" t="str">
        <f t="shared" si="54"/>
        <v>SKI_DO</v>
      </c>
      <c r="O160" s="120"/>
      <c r="P160" s="121"/>
      <c r="Q160" s="122"/>
      <c r="R160" s="122"/>
      <c r="S160" s="82">
        <f t="shared" si="56"/>
        <v>8</v>
      </c>
      <c r="T160" s="82"/>
      <c r="U160" s="125"/>
      <c r="V160" s="126"/>
      <c r="W160" s="122"/>
      <c r="X160" s="127"/>
    </row>
    <row r="161" spans="1:24" x14ac:dyDescent="0.3">
      <c r="A161" s="304"/>
      <c r="B161" s="271"/>
      <c r="C161" s="87" t="s">
        <v>469</v>
      </c>
      <c r="D161" s="90" t="str">
        <f t="shared" si="55"/>
        <v>Авария. Утечка фидера 9. 1QSF9</v>
      </c>
      <c r="E161" s="136" t="s">
        <v>4</v>
      </c>
      <c r="F161" s="431"/>
      <c r="G161" s="269"/>
      <c r="H161" s="269"/>
      <c r="I161" s="432">
        <v>4567</v>
      </c>
      <c r="J161" s="92" t="str">
        <f t="shared" si="49"/>
        <v>SPT18SKI/SKI_DOGGIO2.Alm17</v>
      </c>
      <c r="K161" s="137" t="str">
        <f t="shared" si="57"/>
        <v>18SKI</v>
      </c>
      <c r="L161" s="112" t="str">
        <f t="shared" si="57"/>
        <v>GGIO2</v>
      </c>
      <c r="M161" s="108" t="s">
        <v>225</v>
      </c>
      <c r="N161" s="119" t="str">
        <f t="shared" si="54"/>
        <v>SKI_DO</v>
      </c>
      <c r="O161" s="120"/>
      <c r="P161" s="121"/>
      <c r="Q161" s="122"/>
      <c r="R161" s="122"/>
      <c r="S161" s="82">
        <f t="shared" si="56"/>
        <v>9</v>
      </c>
      <c r="T161" s="82"/>
      <c r="U161" s="125"/>
      <c r="V161" s="126"/>
      <c r="W161" s="122"/>
      <c r="X161" s="127"/>
    </row>
    <row r="162" spans="1:24" x14ac:dyDescent="0.3">
      <c r="A162" s="304"/>
      <c r="B162" s="271"/>
      <c r="C162" s="87" t="s">
        <v>470</v>
      </c>
      <c r="D162" s="90" t="str">
        <f t="shared" si="55"/>
        <v>Авария. Утечка фидера 10. 1QSF10</v>
      </c>
      <c r="E162" s="136" t="s">
        <v>4</v>
      </c>
      <c r="F162" s="431"/>
      <c r="G162" s="269"/>
      <c r="H162" s="269"/>
      <c r="I162" s="432">
        <v>4568</v>
      </c>
      <c r="J162" s="92" t="str">
        <f t="shared" si="49"/>
        <v>SPT18SKI/SKI_DOGGIO2.Alm18</v>
      </c>
      <c r="K162" s="137" t="str">
        <f t="shared" si="57"/>
        <v>18SKI</v>
      </c>
      <c r="L162" s="112" t="str">
        <f t="shared" si="57"/>
        <v>GGIO2</v>
      </c>
      <c r="M162" s="108" t="s">
        <v>226</v>
      </c>
      <c r="N162" s="119" t="str">
        <f t="shared" si="54"/>
        <v>SKI_DO</v>
      </c>
      <c r="O162" s="120"/>
      <c r="P162" s="121"/>
      <c r="Q162" s="122"/>
      <c r="R162" s="122"/>
      <c r="S162" s="82">
        <f t="shared" si="56"/>
        <v>10</v>
      </c>
      <c r="T162" s="82"/>
      <c r="U162" s="125"/>
      <c r="V162" s="126"/>
      <c r="W162" s="122"/>
      <c r="X162" s="127"/>
    </row>
    <row r="163" spans="1:24" x14ac:dyDescent="0.3">
      <c r="A163" s="304"/>
      <c r="B163" s="271"/>
      <c r="C163" s="87" t="s">
        <v>471</v>
      </c>
      <c r="D163" s="90" t="str">
        <f t="shared" si="55"/>
        <v>Авария. Утечка фидера 11. 1QSF11</v>
      </c>
      <c r="E163" s="136" t="s">
        <v>4</v>
      </c>
      <c r="F163" s="431"/>
      <c r="G163" s="269"/>
      <c r="H163" s="269"/>
      <c r="I163" s="432">
        <v>4569</v>
      </c>
      <c r="J163" s="92" t="str">
        <f t="shared" si="49"/>
        <v>SPT18SKI/SKI_DOGGIO2.Alm19</v>
      </c>
      <c r="K163" s="137" t="str">
        <f t="shared" si="57"/>
        <v>18SKI</v>
      </c>
      <c r="L163" s="112" t="str">
        <f t="shared" si="57"/>
        <v>GGIO2</v>
      </c>
      <c r="M163" s="108" t="s">
        <v>227</v>
      </c>
      <c r="N163" s="119" t="str">
        <f t="shared" si="54"/>
        <v>SKI_DO</v>
      </c>
      <c r="O163" s="120"/>
      <c r="P163" s="121"/>
      <c r="Q163" s="122"/>
      <c r="R163" s="122"/>
      <c r="S163" s="82">
        <f t="shared" si="56"/>
        <v>11</v>
      </c>
      <c r="T163" s="82"/>
      <c r="U163" s="125"/>
      <c r="V163" s="126"/>
      <c r="W163" s="122"/>
      <c r="X163" s="127"/>
    </row>
    <row r="164" spans="1:24" x14ac:dyDescent="0.3">
      <c r="A164" s="304"/>
      <c r="B164" s="271"/>
      <c r="C164" s="87" t="s">
        <v>472</v>
      </c>
      <c r="D164" s="90" t="str">
        <f t="shared" si="55"/>
        <v>Авария. Утечка фидера 12. 1QSF12</v>
      </c>
      <c r="E164" s="136" t="s">
        <v>4</v>
      </c>
      <c r="F164" s="431"/>
      <c r="G164" s="269"/>
      <c r="H164" s="269"/>
      <c r="I164" s="432">
        <v>4570</v>
      </c>
      <c r="J164" s="92" t="str">
        <f t="shared" si="49"/>
        <v>SPT18SKI/SKI_DOGGIO2.Alm20</v>
      </c>
      <c r="K164" s="137" t="str">
        <f t="shared" si="57"/>
        <v>18SKI</v>
      </c>
      <c r="L164" s="112" t="str">
        <f t="shared" si="57"/>
        <v>GGIO2</v>
      </c>
      <c r="M164" s="108" t="s">
        <v>228</v>
      </c>
      <c r="N164" s="119" t="str">
        <f t="shared" si="54"/>
        <v>SKI_DO</v>
      </c>
      <c r="O164" s="120"/>
      <c r="P164" s="121"/>
      <c r="Q164" s="122"/>
      <c r="R164" s="122"/>
      <c r="S164" s="82">
        <f t="shared" si="56"/>
        <v>12</v>
      </c>
      <c r="T164" s="82"/>
      <c r="U164" s="125"/>
      <c r="V164" s="126"/>
      <c r="W164" s="122"/>
      <c r="X164" s="127"/>
    </row>
    <row r="165" spans="1:24" x14ac:dyDescent="0.3">
      <c r="A165" s="304"/>
      <c r="B165" s="271"/>
      <c r="C165" s="87" t="s">
        <v>473</v>
      </c>
      <c r="D165" s="90" t="str">
        <f t="shared" si="55"/>
        <v>Авария. Утечка фидера 13. 1QSF13</v>
      </c>
      <c r="E165" s="136" t="s">
        <v>4</v>
      </c>
      <c r="F165" s="431"/>
      <c r="G165" s="269"/>
      <c r="H165" s="269"/>
      <c r="I165" s="432">
        <v>4571</v>
      </c>
      <c r="J165" s="92" t="str">
        <f t="shared" si="49"/>
        <v>SPT18SKI/SKI_DOGGIO2.Alm21</v>
      </c>
      <c r="K165" s="137" t="str">
        <f t="shared" si="57"/>
        <v>18SKI</v>
      </c>
      <c r="L165" s="112" t="str">
        <f t="shared" si="57"/>
        <v>GGIO2</v>
      </c>
      <c r="M165" s="108" t="s">
        <v>229</v>
      </c>
      <c r="N165" s="119" t="str">
        <f t="shared" si="54"/>
        <v>SKI_DO</v>
      </c>
      <c r="O165" s="120"/>
      <c r="P165" s="121"/>
      <c r="Q165" s="122"/>
      <c r="R165" s="122"/>
      <c r="S165" s="82">
        <f t="shared" si="56"/>
        <v>13</v>
      </c>
      <c r="T165" s="82"/>
      <c r="U165" s="125"/>
      <c r="V165" s="126"/>
      <c r="W165" s="122"/>
      <c r="X165" s="127"/>
    </row>
    <row r="166" spans="1:24" x14ac:dyDescent="0.3">
      <c r="A166" s="304"/>
      <c r="B166" s="271"/>
      <c r="C166" s="87" t="s">
        <v>474</v>
      </c>
      <c r="D166" s="90" t="str">
        <f t="shared" si="55"/>
        <v>Авария. Утечка фидера 14. 1QSF14</v>
      </c>
      <c r="E166" s="136" t="s">
        <v>4</v>
      </c>
      <c r="F166" s="431"/>
      <c r="G166" s="269"/>
      <c r="H166" s="269"/>
      <c r="I166" s="432">
        <v>4572</v>
      </c>
      <c r="J166" s="92" t="str">
        <f t="shared" si="49"/>
        <v>SPT18SKI/SKI_DOGGIO2.Alm22</v>
      </c>
      <c r="K166" s="137" t="str">
        <f t="shared" si="57"/>
        <v>18SKI</v>
      </c>
      <c r="L166" s="112" t="str">
        <f t="shared" si="57"/>
        <v>GGIO2</v>
      </c>
      <c r="M166" s="108" t="s">
        <v>230</v>
      </c>
      <c r="N166" s="119" t="str">
        <f t="shared" si="54"/>
        <v>SKI_DO</v>
      </c>
      <c r="O166" s="120"/>
      <c r="P166" s="121"/>
      <c r="Q166" s="122"/>
      <c r="R166" s="122"/>
      <c r="S166" s="82">
        <f t="shared" si="56"/>
        <v>14</v>
      </c>
      <c r="T166" s="82"/>
      <c r="U166" s="125"/>
      <c r="V166" s="126"/>
      <c r="W166" s="122"/>
      <c r="X166" s="127"/>
    </row>
    <row r="167" spans="1:24" x14ac:dyDescent="0.3">
      <c r="A167" s="304"/>
      <c r="B167" s="271"/>
      <c r="C167" s="87" t="s">
        <v>475</v>
      </c>
      <c r="D167" s="90" t="str">
        <f t="shared" si="55"/>
        <v>Авария. Утечка фидера 15. 1QSF15</v>
      </c>
      <c r="E167" s="136" t="s">
        <v>4</v>
      </c>
      <c r="F167" s="431"/>
      <c r="G167" s="269"/>
      <c r="H167" s="269"/>
      <c r="I167" s="432">
        <v>4573</v>
      </c>
      <c r="J167" s="92" t="str">
        <f t="shared" si="49"/>
        <v>SPT18SKI/SKI_DOGGIO2.Alm23</v>
      </c>
      <c r="K167" s="137" t="str">
        <f t="shared" si="57"/>
        <v>18SKI</v>
      </c>
      <c r="L167" s="112" t="str">
        <f t="shared" si="57"/>
        <v>GGIO2</v>
      </c>
      <c r="M167" s="108" t="s">
        <v>231</v>
      </c>
      <c r="N167" s="119" t="str">
        <f t="shared" si="54"/>
        <v>SKI_DO</v>
      </c>
      <c r="O167" s="120"/>
      <c r="P167" s="121"/>
      <c r="Q167" s="122"/>
      <c r="R167" s="122"/>
      <c r="S167" s="82">
        <f t="shared" si="56"/>
        <v>15</v>
      </c>
      <c r="T167" s="82"/>
      <c r="U167" s="125"/>
      <c r="V167" s="126"/>
      <c r="W167" s="122"/>
      <c r="X167" s="127"/>
    </row>
    <row r="168" spans="1:24" x14ac:dyDescent="0.3">
      <c r="A168" s="304"/>
      <c r="B168" s="271"/>
      <c r="C168" s="87" t="s">
        <v>476</v>
      </c>
      <c r="D168" s="90" t="str">
        <f t="shared" si="55"/>
        <v>Авария. Утечка фидера 16. 1QSF16</v>
      </c>
      <c r="E168" s="136" t="s">
        <v>4</v>
      </c>
      <c r="F168" s="431"/>
      <c r="G168" s="269"/>
      <c r="H168" s="269"/>
      <c r="I168" s="432">
        <v>4574</v>
      </c>
      <c r="J168" s="92" t="str">
        <f t="shared" si="49"/>
        <v>SPT18SKI/SKI_DOGGIO2.Alm24</v>
      </c>
      <c r="K168" s="137" t="str">
        <f t="shared" si="57"/>
        <v>18SKI</v>
      </c>
      <c r="L168" s="112" t="str">
        <f t="shared" si="57"/>
        <v>GGIO2</v>
      </c>
      <c r="M168" s="108" t="s">
        <v>232</v>
      </c>
      <c r="N168" s="119" t="str">
        <f t="shared" si="54"/>
        <v>SKI_DO</v>
      </c>
      <c r="O168" s="120"/>
      <c r="P168" s="121"/>
      <c r="Q168" s="122"/>
      <c r="R168" s="122"/>
      <c r="S168" s="82">
        <f t="shared" si="56"/>
        <v>16</v>
      </c>
      <c r="T168" s="82"/>
      <c r="U168" s="125"/>
      <c r="V168" s="126"/>
      <c r="W168" s="122"/>
      <c r="X168" s="127"/>
    </row>
    <row r="169" spans="1:24" x14ac:dyDescent="0.3">
      <c r="A169" s="304"/>
      <c r="B169" s="271"/>
      <c r="C169" s="87" t="s">
        <v>182</v>
      </c>
      <c r="D169" s="90" t="str">
        <f t="shared" si="55"/>
        <v>Авария. Утечка фидера 17. 1QSF17</v>
      </c>
      <c r="E169" s="136" t="s">
        <v>4</v>
      </c>
      <c r="F169" s="431"/>
      <c r="G169" s="269"/>
      <c r="H169" s="269"/>
      <c r="I169" s="432">
        <v>4575</v>
      </c>
      <c r="J169" s="92" t="str">
        <f t="shared" si="49"/>
        <v>SPT18SKI/SKI_DOGGIO2.Alm25</v>
      </c>
      <c r="K169" s="137" t="str">
        <f t="shared" si="57"/>
        <v>18SKI</v>
      </c>
      <c r="L169" s="112" t="str">
        <f t="shared" si="57"/>
        <v>GGIO2</v>
      </c>
      <c r="M169" s="108" t="s">
        <v>233</v>
      </c>
      <c r="N169" s="119" t="str">
        <f t="shared" si="54"/>
        <v>SKI_DO</v>
      </c>
      <c r="O169" s="120"/>
      <c r="P169" s="121"/>
      <c r="Q169" s="122"/>
      <c r="R169" s="122"/>
      <c r="S169" s="82">
        <f t="shared" si="56"/>
        <v>17</v>
      </c>
      <c r="T169" s="82"/>
      <c r="U169" s="125"/>
      <c r="V169" s="126"/>
      <c r="W169" s="122"/>
      <c r="X169" s="127"/>
    </row>
    <row r="170" spans="1:24" x14ac:dyDescent="0.3">
      <c r="A170" s="304"/>
      <c r="B170" s="271"/>
      <c r="C170" s="87" t="s">
        <v>183</v>
      </c>
      <c r="D170" s="90" t="str">
        <f t="shared" si="55"/>
        <v>Авария. Утечка фидера 18. 1QSF18</v>
      </c>
      <c r="E170" s="136" t="s">
        <v>4</v>
      </c>
      <c r="F170" s="431"/>
      <c r="G170" s="269"/>
      <c r="H170" s="269"/>
      <c r="I170" s="432">
        <v>4576</v>
      </c>
      <c r="J170" s="92" t="str">
        <f t="shared" si="49"/>
        <v>SPT18SKI/SKI_DOGGIO2.Alm26</v>
      </c>
      <c r="K170" s="137" t="str">
        <f t="shared" si="57"/>
        <v>18SKI</v>
      </c>
      <c r="L170" s="112" t="str">
        <f t="shared" si="57"/>
        <v>GGIO2</v>
      </c>
      <c r="M170" s="108" t="s">
        <v>234</v>
      </c>
      <c r="N170" s="119" t="str">
        <f t="shared" si="54"/>
        <v>SKI_DO</v>
      </c>
      <c r="O170" s="120"/>
      <c r="P170" s="121"/>
      <c r="Q170" s="122"/>
      <c r="R170" s="122"/>
      <c r="S170" s="82">
        <f t="shared" si="56"/>
        <v>18</v>
      </c>
      <c r="T170" s="82"/>
      <c r="U170" s="125"/>
      <c r="V170" s="126"/>
      <c r="W170" s="122"/>
      <c r="X170" s="127"/>
    </row>
    <row r="171" spans="1:24" x14ac:dyDescent="0.3">
      <c r="A171" s="304"/>
      <c r="B171" s="271"/>
      <c r="C171" s="87" t="s">
        <v>477</v>
      </c>
      <c r="D171" s="90" t="str">
        <f t="shared" si="55"/>
        <v>Авария. Утечка фидера 19. 1QSF19</v>
      </c>
      <c r="E171" s="136" t="s">
        <v>4</v>
      </c>
      <c r="F171" s="431"/>
      <c r="G171" s="269"/>
      <c r="H171" s="269"/>
      <c r="I171" s="432">
        <v>4577</v>
      </c>
      <c r="J171" s="92" t="str">
        <f t="shared" si="49"/>
        <v>SPT18SKI/SKI_DOGGIO2.Alm27</v>
      </c>
      <c r="K171" s="137" t="str">
        <f t="shared" si="57"/>
        <v>18SKI</v>
      </c>
      <c r="L171" s="112" t="str">
        <f t="shared" si="57"/>
        <v>GGIO2</v>
      </c>
      <c r="M171" s="108" t="s">
        <v>235</v>
      </c>
      <c r="N171" s="119" t="str">
        <f t="shared" si="54"/>
        <v>SKI_DO</v>
      </c>
      <c r="O171" s="120"/>
      <c r="P171" s="121"/>
      <c r="Q171" s="122"/>
      <c r="R171" s="122"/>
      <c r="S171" s="82">
        <f t="shared" si="56"/>
        <v>19</v>
      </c>
      <c r="T171" s="82"/>
      <c r="U171" s="125"/>
      <c r="V171" s="126"/>
      <c r="W171" s="122"/>
      <c r="X171" s="127"/>
    </row>
    <row r="172" spans="1:24" x14ac:dyDescent="0.3">
      <c r="A172" s="304"/>
      <c r="B172" s="271"/>
      <c r="C172" s="87" t="s">
        <v>478</v>
      </c>
      <c r="D172" s="90" t="str">
        <f t="shared" si="55"/>
        <v>Авария. Утечка фидера 20. 1QSF20</v>
      </c>
      <c r="E172" s="136" t="s">
        <v>4</v>
      </c>
      <c r="F172" s="431"/>
      <c r="G172" s="269"/>
      <c r="H172" s="269"/>
      <c r="I172" s="432">
        <v>4578</v>
      </c>
      <c r="J172" s="92" t="str">
        <f t="shared" si="49"/>
        <v>SPT18SKI/SKI_DOGGIO2.Alm28</v>
      </c>
      <c r="K172" s="137" t="str">
        <f t="shared" si="57"/>
        <v>18SKI</v>
      </c>
      <c r="L172" s="112" t="str">
        <f t="shared" si="57"/>
        <v>GGIO2</v>
      </c>
      <c r="M172" s="108" t="s">
        <v>236</v>
      </c>
      <c r="N172" s="119" t="str">
        <f t="shared" si="54"/>
        <v>SKI_DO</v>
      </c>
      <c r="O172" s="120"/>
      <c r="P172" s="121"/>
      <c r="Q172" s="122"/>
      <c r="R172" s="122"/>
      <c r="S172" s="82">
        <f t="shared" si="56"/>
        <v>20</v>
      </c>
      <c r="T172" s="82"/>
      <c r="U172" s="125"/>
      <c r="V172" s="126"/>
      <c r="W172" s="122"/>
      <c r="X172" s="127"/>
    </row>
    <row r="173" spans="1:24" x14ac:dyDescent="0.3">
      <c r="A173" s="304"/>
      <c r="B173" s="271"/>
      <c r="C173" s="87" t="s">
        <v>479</v>
      </c>
      <c r="D173" s="90" t="str">
        <f t="shared" si="55"/>
        <v>Авария. Утечка фидера 21. 1QSF21</v>
      </c>
      <c r="E173" s="136" t="s">
        <v>4</v>
      </c>
      <c r="F173" s="431"/>
      <c r="G173" s="269"/>
      <c r="H173" s="269"/>
      <c r="I173" s="432">
        <v>4579</v>
      </c>
      <c r="J173" s="92" t="str">
        <f t="shared" si="49"/>
        <v>SPT18SKI/SKI_DOGGIO2.Alm29</v>
      </c>
      <c r="K173" s="137" t="str">
        <f>K172</f>
        <v>18SKI</v>
      </c>
      <c r="L173" s="112" t="str">
        <f>L172</f>
        <v>GGIO2</v>
      </c>
      <c r="M173" s="108" t="s">
        <v>237</v>
      </c>
      <c r="N173" s="119" t="str">
        <f>N172</f>
        <v>SKI_DO</v>
      </c>
      <c r="O173" s="120"/>
      <c r="P173" s="121"/>
      <c r="Q173" s="122"/>
      <c r="R173" s="122"/>
      <c r="S173" s="82">
        <f>S172+1</f>
        <v>21</v>
      </c>
      <c r="T173" s="82"/>
      <c r="U173" s="125"/>
      <c r="V173" s="126"/>
      <c r="W173" s="122"/>
      <c r="X173" s="127"/>
    </row>
    <row r="174" spans="1:24" x14ac:dyDescent="0.3">
      <c r="A174" s="304"/>
      <c r="B174" s="271"/>
      <c r="C174" s="87" t="s">
        <v>480</v>
      </c>
      <c r="D174" s="90" t="str">
        <f t="shared" si="55"/>
        <v>Авария. Утечка фидера 22. 1QSF22</v>
      </c>
      <c r="E174" s="136" t="s">
        <v>4</v>
      </c>
      <c r="F174" s="431"/>
      <c r="G174" s="269"/>
      <c r="H174" s="269"/>
      <c r="I174" s="432">
        <v>4580</v>
      </c>
      <c r="J174" s="92" t="str">
        <f t="shared" si="49"/>
        <v>SPT18SKI/SKI_DOGGIO2.Alm30</v>
      </c>
      <c r="K174" s="137" t="str">
        <f t="shared" ref="K174:L189" si="58">K173</f>
        <v>18SKI</v>
      </c>
      <c r="L174" s="112" t="str">
        <f t="shared" si="58"/>
        <v>GGIO2</v>
      </c>
      <c r="M174" s="108" t="s">
        <v>238</v>
      </c>
      <c r="N174" s="119" t="str">
        <f t="shared" si="54"/>
        <v>SKI_DO</v>
      </c>
      <c r="O174" s="120"/>
      <c r="P174" s="121"/>
      <c r="Q174" s="122"/>
      <c r="R174" s="122"/>
      <c r="S174" s="82">
        <f t="shared" si="56"/>
        <v>22</v>
      </c>
      <c r="T174" s="82"/>
      <c r="U174" s="125"/>
      <c r="V174" s="126"/>
      <c r="W174" s="122"/>
      <c r="X174" s="127"/>
    </row>
    <row r="175" spans="1:24" x14ac:dyDescent="0.3">
      <c r="A175" s="304"/>
      <c r="B175" s="271"/>
      <c r="C175" s="87" t="s">
        <v>481</v>
      </c>
      <c r="D175" s="90" t="str">
        <f t="shared" si="55"/>
        <v>Авария. Утечка фидера 23. 1QSF23</v>
      </c>
      <c r="E175" s="136" t="s">
        <v>4</v>
      </c>
      <c r="F175" s="431"/>
      <c r="G175" s="269"/>
      <c r="H175" s="269"/>
      <c r="I175" s="432">
        <v>4581</v>
      </c>
      <c r="J175" s="92" t="str">
        <f t="shared" si="49"/>
        <v>SPT18SKI/SKI_DOGGIO2.Alm31</v>
      </c>
      <c r="K175" s="137" t="str">
        <f t="shared" si="58"/>
        <v>18SKI</v>
      </c>
      <c r="L175" s="112" t="str">
        <f t="shared" si="58"/>
        <v>GGIO2</v>
      </c>
      <c r="M175" s="108" t="s">
        <v>243</v>
      </c>
      <c r="N175" s="119" t="str">
        <f t="shared" si="54"/>
        <v>SKI_DO</v>
      </c>
      <c r="O175" s="120"/>
      <c r="P175" s="121"/>
      <c r="Q175" s="122"/>
      <c r="R175" s="122"/>
      <c r="S175" s="82">
        <f t="shared" si="56"/>
        <v>23</v>
      </c>
      <c r="T175" s="82"/>
      <c r="U175" s="125"/>
      <c r="V175" s="126"/>
      <c r="W175" s="122"/>
      <c r="X175" s="127"/>
    </row>
    <row r="176" spans="1:24" x14ac:dyDescent="0.3">
      <c r="A176" s="304"/>
      <c r="B176" s="271"/>
      <c r="C176" s="87" t="s">
        <v>482</v>
      </c>
      <c r="D176" s="90" t="str">
        <f t="shared" si="55"/>
        <v>Авария. Утечка фидера 24. 1QSF24</v>
      </c>
      <c r="E176" s="136" t="s">
        <v>4</v>
      </c>
      <c r="F176" s="431"/>
      <c r="G176" s="269"/>
      <c r="H176" s="269"/>
      <c r="I176" s="432">
        <v>4582</v>
      </c>
      <c r="J176" s="92" t="str">
        <f>IF(OR(D176="",D176="-"),"",CONCATENATE("SPT",K176,"/",N176,L176,".",M176))</f>
        <v>SPT18SKI/SKI_DOGGIO2.Alm32</v>
      </c>
      <c r="K176" s="137" t="str">
        <f t="shared" si="58"/>
        <v>18SKI</v>
      </c>
      <c r="L176" s="112" t="str">
        <f t="shared" si="58"/>
        <v>GGIO2</v>
      </c>
      <c r="M176" s="108" t="s">
        <v>483</v>
      </c>
      <c r="N176" s="119" t="str">
        <f t="shared" si="54"/>
        <v>SKI_DO</v>
      </c>
      <c r="O176" s="120"/>
      <c r="P176" s="121"/>
      <c r="Q176" s="122"/>
      <c r="R176" s="122"/>
      <c r="S176" s="82">
        <f t="shared" si="56"/>
        <v>24</v>
      </c>
      <c r="T176" s="82"/>
      <c r="U176" s="125"/>
      <c r="V176" s="126"/>
      <c r="W176" s="122"/>
      <c r="X176" s="127"/>
    </row>
    <row r="177" spans="1:24" x14ac:dyDescent="0.3">
      <c r="A177" s="304"/>
      <c r="B177" s="271"/>
      <c r="C177" s="87" t="s">
        <v>747</v>
      </c>
      <c r="D177" s="90" t="str">
        <f t="shared" si="55"/>
        <v>Авария. Утечка фидера 25. 1QSF25</v>
      </c>
      <c r="E177" s="136" t="s">
        <v>4</v>
      </c>
      <c r="F177" s="431"/>
      <c r="G177" s="269"/>
      <c r="H177" s="269"/>
      <c r="I177" s="432">
        <v>4582</v>
      </c>
      <c r="J177" s="92" t="str">
        <f t="shared" ref="J177:J200" si="59">IF(OR(D177="",D177="-"),"",CONCATENATE("SPT",K177,"/",N177,L177,".",M177))</f>
        <v>SPT18SKI/SKI_DOGGIO2.Alm33</v>
      </c>
      <c r="K177" s="137" t="str">
        <f t="shared" si="58"/>
        <v>18SKI</v>
      </c>
      <c r="L177" s="112" t="str">
        <f t="shared" si="58"/>
        <v>GGIO2</v>
      </c>
      <c r="M177" s="108" t="s">
        <v>723</v>
      </c>
      <c r="N177" s="119" t="str">
        <f t="shared" si="54"/>
        <v>SKI_DO</v>
      </c>
      <c r="O177" s="120"/>
      <c r="P177" s="121"/>
      <c r="Q177" s="122"/>
      <c r="R177" s="122"/>
      <c r="S177" s="82">
        <f t="shared" si="56"/>
        <v>25</v>
      </c>
      <c r="T177" s="82"/>
      <c r="U177" s="125"/>
      <c r="V177" s="126"/>
      <c r="W177" s="122"/>
      <c r="X177" s="127"/>
    </row>
    <row r="178" spans="1:24" x14ac:dyDescent="0.3">
      <c r="A178" s="304"/>
      <c r="B178" s="271"/>
      <c r="C178" s="87" t="s">
        <v>748</v>
      </c>
      <c r="D178" s="90" t="str">
        <f t="shared" si="55"/>
        <v>Авария. Утечка фидера 26. 1QSF26</v>
      </c>
      <c r="E178" s="136" t="s">
        <v>4</v>
      </c>
      <c r="F178" s="431"/>
      <c r="G178" s="269"/>
      <c r="H178" s="269"/>
      <c r="I178" s="432">
        <v>4582</v>
      </c>
      <c r="J178" s="92" t="str">
        <f t="shared" si="59"/>
        <v>SPT18SKI/SKI_DOGGIO2.Alm34</v>
      </c>
      <c r="K178" s="137" t="str">
        <f t="shared" si="58"/>
        <v>18SKI</v>
      </c>
      <c r="L178" s="112" t="str">
        <f t="shared" si="58"/>
        <v>GGIO2</v>
      </c>
      <c r="M178" s="108" t="s">
        <v>724</v>
      </c>
      <c r="N178" s="119" t="str">
        <f t="shared" si="54"/>
        <v>SKI_DO</v>
      </c>
      <c r="O178" s="120"/>
      <c r="P178" s="121"/>
      <c r="Q178" s="122"/>
      <c r="R178" s="122"/>
      <c r="S178" s="82">
        <f t="shared" si="56"/>
        <v>26</v>
      </c>
      <c r="T178" s="82"/>
      <c r="U178" s="125"/>
      <c r="V178" s="126"/>
      <c r="W178" s="122"/>
      <c r="X178" s="127"/>
    </row>
    <row r="179" spans="1:24" x14ac:dyDescent="0.3">
      <c r="A179" s="304"/>
      <c r="B179" s="271"/>
      <c r="C179" s="87" t="s">
        <v>749</v>
      </c>
      <c r="D179" s="90" t="str">
        <f t="shared" si="55"/>
        <v>Авария. Утечка фидера 27. 1QSF27</v>
      </c>
      <c r="E179" s="136" t="s">
        <v>4</v>
      </c>
      <c r="F179" s="431"/>
      <c r="G179" s="269"/>
      <c r="H179" s="269"/>
      <c r="I179" s="432">
        <v>4582</v>
      </c>
      <c r="J179" s="92" t="str">
        <f t="shared" si="59"/>
        <v>SPT18SKI/SKI_DOGGIO2.Alm35</v>
      </c>
      <c r="K179" s="137" t="str">
        <f t="shared" si="58"/>
        <v>18SKI</v>
      </c>
      <c r="L179" s="112" t="str">
        <f t="shared" si="58"/>
        <v>GGIO2</v>
      </c>
      <c r="M179" s="108" t="s">
        <v>725</v>
      </c>
      <c r="N179" s="119" t="str">
        <f t="shared" si="54"/>
        <v>SKI_DO</v>
      </c>
      <c r="O179" s="120"/>
      <c r="P179" s="121"/>
      <c r="Q179" s="122"/>
      <c r="R179" s="122"/>
      <c r="S179" s="82">
        <f t="shared" si="56"/>
        <v>27</v>
      </c>
      <c r="T179" s="82"/>
      <c r="U179" s="125"/>
      <c r="V179" s="126"/>
      <c r="W179" s="122"/>
      <c r="X179" s="127"/>
    </row>
    <row r="180" spans="1:24" x14ac:dyDescent="0.3">
      <c r="A180" s="304"/>
      <c r="B180" s="271"/>
      <c r="C180" s="87" t="s">
        <v>750</v>
      </c>
      <c r="D180" s="90" t="str">
        <f t="shared" si="55"/>
        <v>Авария. Утечка фидера 28. 1QSF28</v>
      </c>
      <c r="E180" s="136" t="s">
        <v>4</v>
      </c>
      <c r="F180" s="431"/>
      <c r="G180" s="269"/>
      <c r="H180" s="269"/>
      <c r="I180" s="432">
        <v>4582</v>
      </c>
      <c r="J180" s="92" t="str">
        <f t="shared" si="59"/>
        <v>SPT18SKI/SKI_DOGGIO2.Alm36</v>
      </c>
      <c r="K180" s="137" t="str">
        <f t="shared" si="58"/>
        <v>18SKI</v>
      </c>
      <c r="L180" s="112" t="str">
        <f t="shared" si="58"/>
        <v>GGIO2</v>
      </c>
      <c r="M180" s="108" t="s">
        <v>726</v>
      </c>
      <c r="N180" s="119" t="str">
        <f t="shared" si="54"/>
        <v>SKI_DO</v>
      </c>
      <c r="O180" s="120"/>
      <c r="P180" s="121"/>
      <c r="Q180" s="122"/>
      <c r="R180" s="122"/>
      <c r="S180" s="82">
        <f t="shared" si="56"/>
        <v>28</v>
      </c>
      <c r="T180" s="82"/>
      <c r="U180" s="125"/>
      <c r="V180" s="126"/>
      <c r="W180" s="122"/>
      <c r="X180" s="127"/>
    </row>
    <row r="181" spans="1:24" x14ac:dyDescent="0.3">
      <c r="A181" s="304"/>
      <c r="B181" s="271"/>
      <c r="C181" s="87" t="s">
        <v>751</v>
      </c>
      <c r="D181" s="90" t="str">
        <f t="shared" si="55"/>
        <v>Авария. Утечка фидера 29. 1QSF29</v>
      </c>
      <c r="E181" s="136" t="s">
        <v>4</v>
      </c>
      <c r="F181" s="431"/>
      <c r="G181" s="269"/>
      <c r="H181" s="269"/>
      <c r="I181" s="432">
        <v>4582</v>
      </c>
      <c r="J181" s="92" t="str">
        <f t="shared" si="59"/>
        <v>SPT18SKI/SKI_DOGGIO2.Alm37</v>
      </c>
      <c r="K181" s="137" t="str">
        <f t="shared" si="58"/>
        <v>18SKI</v>
      </c>
      <c r="L181" s="112" t="str">
        <f t="shared" si="58"/>
        <v>GGIO2</v>
      </c>
      <c r="M181" s="108" t="s">
        <v>727</v>
      </c>
      <c r="N181" s="119" t="str">
        <f t="shared" si="54"/>
        <v>SKI_DO</v>
      </c>
      <c r="O181" s="120"/>
      <c r="P181" s="121"/>
      <c r="Q181" s="122"/>
      <c r="R181" s="122"/>
      <c r="S181" s="82">
        <f t="shared" si="56"/>
        <v>29</v>
      </c>
      <c r="T181" s="82"/>
      <c r="U181" s="125"/>
      <c r="V181" s="126"/>
      <c r="W181" s="122"/>
      <c r="X181" s="127"/>
    </row>
    <row r="182" spans="1:24" x14ac:dyDescent="0.3">
      <c r="A182" s="304"/>
      <c r="B182" s="271"/>
      <c r="C182" s="87" t="s">
        <v>752</v>
      </c>
      <c r="D182" s="90" t="str">
        <f t="shared" si="55"/>
        <v>Авария. Утечка фидера 30. 1QSF30</v>
      </c>
      <c r="E182" s="136" t="s">
        <v>4</v>
      </c>
      <c r="F182" s="431"/>
      <c r="G182" s="269"/>
      <c r="H182" s="269"/>
      <c r="I182" s="432">
        <v>4582</v>
      </c>
      <c r="J182" s="92" t="str">
        <f t="shared" si="59"/>
        <v>SPT18SKI/SKI_DOGGIO2.Alm38</v>
      </c>
      <c r="K182" s="137" t="str">
        <f t="shared" si="58"/>
        <v>18SKI</v>
      </c>
      <c r="L182" s="112" t="str">
        <f t="shared" si="58"/>
        <v>GGIO2</v>
      </c>
      <c r="M182" s="108" t="s">
        <v>728</v>
      </c>
      <c r="N182" s="119" t="str">
        <f t="shared" si="54"/>
        <v>SKI_DO</v>
      </c>
      <c r="O182" s="120"/>
      <c r="P182" s="121"/>
      <c r="Q182" s="122"/>
      <c r="R182" s="122"/>
      <c r="S182" s="82">
        <f t="shared" si="56"/>
        <v>30</v>
      </c>
      <c r="T182" s="82"/>
      <c r="U182" s="125"/>
      <c r="V182" s="126"/>
      <c r="W182" s="122"/>
      <c r="X182" s="127"/>
    </row>
    <row r="183" spans="1:24" x14ac:dyDescent="0.3">
      <c r="A183" s="304"/>
      <c r="B183" s="271"/>
      <c r="C183" s="87" t="s">
        <v>753</v>
      </c>
      <c r="D183" s="90" t="str">
        <f t="shared" si="55"/>
        <v>Авария. Утечка фидера 31. 1QSF31</v>
      </c>
      <c r="E183" s="136" t="s">
        <v>4</v>
      </c>
      <c r="F183" s="431"/>
      <c r="G183" s="269"/>
      <c r="H183" s="269"/>
      <c r="I183" s="432">
        <v>4582</v>
      </c>
      <c r="J183" s="92" t="str">
        <f t="shared" si="59"/>
        <v>SPT18SKI/SKI_DOGGIO2.Alm39</v>
      </c>
      <c r="K183" s="137" t="str">
        <f t="shared" si="58"/>
        <v>18SKI</v>
      </c>
      <c r="L183" s="112" t="str">
        <f t="shared" si="58"/>
        <v>GGIO2</v>
      </c>
      <c r="M183" s="108" t="s">
        <v>729</v>
      </c>
      <c r="N183" s="119" t="str">
        <f t="shared" si="54"/>
        <v>SKI_DO</v>
      </c>
      <c r="O183" s="120"/>
      <c r="P183" s="121"/>
      <c r="Q183" s="122"/>
      <c r="R183" s="122"/>
      <c r="S183" s="82">
        <f t="shared" si="56"/>
        <v>31</v>
      </c>
      <c r="T183" s="82"/>
      <c r="U183" s="125"/>
      <c r="V183" s="126"/>
      <c r="W183" s="122"/>
      <c r="X183" s="127"/>
    </row>
    <row r="184" spans="1:24" x14ac:dyDescent="0.3">
      <c r="A184" s="304"/>
      <c r="B184" s="271"/>
      <c r="C184" s="87" t="s">
        <v>754</v>
      </c>
      <c r="D184" s="90" t="str">
        <f t="shared" si="55"/>
        <v>Авария. Утечка фидера 32. 1QSF32</v>
      </c>
      <c r="E184" s="136" t="s">
        <v>4</v>
      </c>
      <c r="F184" s="431"/>
      <c r="G184" s="269"/>
      <c r="H184" s="269"/>
      <c r="I184" s="432">
        <v>4582</v>
      </c>
      <c r="J184" s="92" t="str">
        <f t="shared" si="59"/>
        <v>SPT18SKI/SKI_DOGGIO2.Alm40</v>
      </c>
      <c r="K184" s="137" t="str">
        <f t="shared" si="58"/>
        <v>18SKI</v>
      </c>
      <c r="L184" s="112" t="str">
        <f t="shared" si="58"/>
        <v>GGIO2</v>
      </c>
      <c r="M184" s="108" t="s">
        <v>730</v>
      </c>
      <c r="N184" s="119" t="str">
        <f t="shared" si="54"/>
        <v>SKI_DO</v>
      </c>
      <c r="O184" s="120"/>
      <c r="P184" s="121"/>
      <c r="Q184" s="122"/>
      <c r="R184" s="122"/>
      <c r="S184" s="82">
        <f t="shared" si="56"/>
        <v>32</v>
      </c>
      <c r="T184" s="82"/>
      <c r="U184" s="125"/>
      <c r="V184" s="126"/>
      <c r="W184" s="122"/>
      <c r="X184" s="127"/>
    </row>
    <row r="185" spans="1:24" x14ac:dyDescent="0.3">
      <c r="A185" s="304"/>
      <c r="B185" s="271"/>
      <c r="C185" s="87" t="s">
        <v>755</v>
      </c>
      <c r="D185" s="90" t="str">
        <f t="shared" si="55"/>
        <v>Авария. Утечка фидера 33. 1QSF33</v>
      </c>
      <c r="E185" s="136" t="s">
        <v>4</v>
      </c>
      <c r="F185" s="431"/>
      <c r="G185" s="269"/>
      <c r="H185" s="269"/>
      <c r="I185" s="432">
        <v>4582</v>
      </c>
      <c r="J185" s="92" t="str">
        <f t="shared" si="59"/>
        <v>SPT18SKI/SKI_DOGGIO2.Alm41</v>
      </c>
      <c r="K185" s="137" t="str">
        <f t="shared" si="58"/>
        <v>18SKI</v>
      </c>
      <c r="L185" s="112" t="str">
        <f t="shared" si="58"/>
        <v>GGIO2</v>
      </c>
      <c r="M185" s="108" t="s">
        <v>731</v>
      </c>
      <c r="N185" s="119" t="str">
        <f t="shared" si="54"/>
        <v>SKI_DO</v>
      </c>
      <c r="O185" s="120"/>
      <c r="P185" s="121"/>
      <c r="Q185" s="122"/>
      <c r="R185" s="122"/>
      <c r="S185" s="82">
        <f t="shared" si="56"/>
        <v>33</v>
      </c>
      <c r="T185" s="82"/>
      <c r="U185" s="125"/>
      <c r="V185" s="126"/>
      <c r="W185" s="122"/>
      <c r="X185" s="127"/>
    </row>
    <row r="186" spans="1:24" x14ac:dyDescent="0.3">
      <c r="A186" s="304"/>
      <c r="B186" s="271"/>
      <c r="C186" s="87" t="s">
        <v>756</v>
      </c>
      <c r="D186" s="90" t="str">
        <f t="shared" si="55"/>
        <v>Авария. Утечка фидера 34. 1QSF34</v>
      </c>
      <c r="E186" s="136" t="s">
        <v>4</v>
      </c>
      <c r="F186" s="431"/>
      <c r="G186" s="269"/>
      <c r="H186" s="269"/>
      <c r="I186" s="432">
        <v>4582</v>
      </c>
      <c r="J186" s="92" t="str">
        <f t="shared" si="59"/>
        <v>SPT18SKI/SKI_DOGGIO2.Alm42</v>
      </c>
      <c r="K186" s="137" t="str">
        <f t="shared" si="58"/>
        <v>18SKI</v>
      </c>
      <c r="L186" s="112" t="str">
        <f t="shared" si="58"/>
        <v>GGIO2</v>
      </c>
      <c r="M186" s="108" t="s">
        <v>732</v>
      </c>
      <c r="N186" s="119" t="str">
        <f t="shared" si="54"/>
        <v>SKI_DO</v>
      </c>
      <c r="O186" s="120"/>
      <c r="P186" s="121"/>
      <c r="Q186" s="122"/>
      <c r="R186" s="122"/>
      <c r="S186" s="82">
        <f t="shared" si="56"/>
        <v>34</v>
      </c>
      <c r="T186" s="82"/>
      <c r="U186" s="125"/>
      <c r="V186" s="126"/>
      <c r="W186" s="122"/>
      <c r="X186" s="127"/>
    </row>
    <row r="187" spans="1:24" x14ac:dyDescent="0.3">
      <c r="A187" s="304"/>
      <c r="B187" s="271"/>
      <c r="C187" s="87" t="s">
        <v>757</v>
      </c>
      <c r="D187" s="90" t="str">
        <f t="shared" si="55"/>
        <v>Авария. Утечка фидера 35. 1QSF35</v>
      </c>
      <c r="E187" s="136" t="s">
        <v>4</v>
      </c>
      <c r="F187" s="431"/>
      <c r="G187" s="269"/>
      <c r="H187" s="269"/>
      <c r="I187" s="432">
        <v>4582</v>
      </c>
      <c r="J187" s="92" t="str">
        <f t="shared" si="59"/>
        <v>SPT18SKI/SKI_DOGGIO2.Alm43</v>
      </c>
      <c r="K187" s="137" t="str">
        <f t="shared" si="58"/>
        <v>18SKI</v>
      </c>
      <c r="L187" s="112" t="str">
        <f t="shared" si="58"/>
        <v>GGIO2</v>
      </c>
      <c r="M187" s="108" t="s">
        <v>733</v>
      </c>
      <c r="N187" s="119" t="str">
        <f t="shared" si="54"/>
        <v>SKI_DO</v>
      </c>
      <c r="O187" s="120"/>
      <c r="P187" s="121"/>
      <c r="Q187" s="122"/>
      <c r="R187" s="122"/>
      <c r="S187" s="82">
        <f t="shared" si="56"/>
        <v>35</v>
      </c>
      <c r="T187" s="82"/>
      <c r="U187" s="125"/>
      <c r="V187" s="126"/>
      <c r="W187" s="122"/>
      <c r="X187" s="127"/>
    </row>
    <row r="188" spans="1:24" x14ac:dyDescent="0.3">
      <c r="A188" s="304"/>
      <c r="B188" s="271"/>
      <c r="C188" s="87" t="s">
        <v>758</v>
      </c>
      <c r="D188" s="90" t="str">
        <f t="shared" si="55"/>
        <v>Авария. Утечка фидера 36. 1QSF36</v>
      </c>
      <c r="E188" s="136" t="s">
        <v>4</v>
      </c>
      <c r="F188" s="431"/>
      <c r="G188" s="269"/>
      <c r="H188" s="269"/>
      <c r="I188" s="432">
        <v>4582</v>
      </c>
      <c r="J188" s="92" t="str">
        <f t="shared" si="59"/>
        <v>SPT18SKI/SKI_DOGGIO2.Alm44</v>
      </c>
      <c r="K188" s="137" t="str">
        <f t="shared" si="58"/>
        <v>18SKI</v>
      </c>
      <c r="L188" s="112" t="str">
        <f t="shared" si="58"/>
        <v>GGIO2</v>
      </c>
      <c r="M188" s="108" t="s">
        <v>734</v>
      </c>
      <c r="N188" s="119" t="str">
        <f t="shared" si="54"/>
        <v>SKI_DO</v>
      </c>
      <c r="O188" s="120"/>
      <c r="P188" s="121"/>
      <c r="Q188" s="122"/>
      <c r="R188" s="122"/>
      <c r="S188" s="82">
        <f t="shared" si="56"/>
        <v>36</v>
      </c>
      <c r="T188" s="82"/>
      <c r="U188" s="125"/>
      <c r="V188" s="126"/>
      <c r="W188" s="122"/>
      <c r="X188" s="127"/>
    </row>
    <row r="189" spans="1:24" x14ac:dyDescent="0.3">
      <c r="A189" s="304"/>
      <c r="B189" s="271"/>
      <c r="C189" s="87" t="s">
        <v>759</v>
      </c>
      <c r="D189" s="90" t="str">
        <f t="shared" si="55"/>
        <v>Авария. Утечка фидера 37. 1QSF37</v>
      </c>
      <c r="E189" s="136" t="s">
        <v>4</v>
      </c>
      <c r="F189" s="431"/>
      <c r="G189" s="269"/>
      <c r="H189" s="269"/>
      <c r="I189" s="432">
        <v>4582</v>
      </c>
      <c r="J189" s="92" t="str">
        <f t="shared" si="59"/>
        <v>SPT18SKI/SKI_DOGGIO2.Alm45</v>
      </c>
      <c r="K189" s="137" t="str">
        <f t="shared" si="58"/>
        <v>18SKI</v>
      </c>
      <c r="L189" s="112" t="str">
        <f t="shared" si="58"/>
        <v>GGIO2</v>
      </c>
      <c r="M189" s="108" t="s">
        <v>735</v>
      </c>
      <c r="N189" s="119" t="str">
        <f t="shared" si="54"/>
        <v>SKI_DO</v>
      </c>
      <c r="O189" s="120"/>
      <c r="P189" s="121"/>
      <c r="Q189" s="122"/>
      <c r="R189" s="122"/>
      <c r="S189" s="82">
        <f t="shared" si="56"/>
        <v>37</v>
      </c>
      <c r="T189" s="82"/>
      <c r="U189" s="125"/>
      <c r="V189" s="126"/>
      <c r="W189" s="122"/>
      <c r="X189" s="127"/>
    </row>
    <row r="190" spans="1:24" x14ac:dyDescent="0.3">
      <c r="A190" s="304"/>
      <c r="B190" s="271"/>
      <c r="C190" s="87" t="s">
        <v>760</v>
      </c>
      <c r="D190" s="90" t="str">
        <f t="shared" si="55"/>
        <v>Авария. Утечка фидера 38. 1QSF38</v>
      </c>
      <c r="E190" s="136" t="s">
        <v>4</v>
      </c>
      <c r="F190" s="431"/>
      <c r="G190" s="269"/>
      <c r="H190" s="269"/>
      <c r="I190" s="432">
        <v>4582</v>
      </c>
      <c r="J190" s="92" t="str">
        <f t="shared" si="59"/>
        <v>SPT18SKI/SKI_DOGGIO2.Alm46</v>
      </c>
      <c r="K190" s="137" t="str">
        <f t="shared" ref="K190:L200" si="60">K189</f>
        <v>18SKI</v>
      </c>
      <c r="L190" s="112" t="str">
        <f t="shared" si="60"/>
        <v>GGIO2</v>
      </c>
      <c r="M190" s="108" t="s">
        <v>736</v>
      </c>
      <c r="N190" s="119" t="str">
        <f t="shared" si="54"/>
        <v>SKI_DO</v>
      </c>
      <c r="O190" s="120"/>
      <c r="P190" s="121"/>
      <c r="Q190" s="122"/>
      <c r="R190" s="122"/>
      <c r="S190" s="82">
        <f t="shared" si="56"/>
        <v>38</v>
      </c>
      <c r="T190" s="82"/>
      <c r="U190" s="125"/>
      <c r="V190" s="126"/>
      <c r="W190" s="122"/>
      <c r="X190" s="127"/>
    </row>
    <row r="191" spans="1:24" x14ac:dyDescent="0.3">
      <c r="A191" s="304"/>
      <c r="B191" s="271"/>
      <c r="C191" s="87" t="s">
        <v>761</v>
      </c>
      <c r="D191" s="90" t="str">
        <f t="shared" si="55"/>
        <v>Авария. Утечка фидера 39. 1QSF39</v>
      </c>
      <c r="E191" s="136" t="s">
        <v>4</v>
      </c>
      <c r="F191" s="431"/>
      <c r="G191" s="269"/>
      <c r="H191" s="269"/>
      <c r="I191" s="432">
        <v>4582</v>
      </c>
      <c r="J191" s="92" t="str">
        <f t="shared" si="59"/>
        <v>SPT18SKI/SKI_DOGGIO2.Alm47</v>
      </c>
      <c r="K191" s="137" t="str">
        <f t="shared" si="60"/>
        <v>18SKI</v>
      </c>
      <c r="L191" s="112" t="str">
        <f t="shared" si="60"/>
        <v>GGIO2</v>
      </c>
      <c r="M191" s="108" t="s">
        <v>737</v>
      </c>
      <c r="N191" s="119" t="str">
        <f t="shared" si="54"/>
        <v>SKI_DO</v>
      </c>
      <c r="O191" s="120"/>
      <c r="P191" s="121"/>
      <c r="Q191" s="122"/>
      <c r="R191" s="122"/>
      <c r="S191" s="82">
        <f t="shared" si="56"/>
        <v>39</v>
      </c>
      <c r="T191" s="82"/>
      <c r="U191" s="125"/>
      <c r="V191" s="126"/>
      <c r="W191" s="122"/>
      <c r="X191" s="127"/>
    </row>
    <row r="192" spans="1:24" x14ac:dyDescent="0.3">
      <c r="A192" s="304"/>
      <c r="B192" s="271"/>
      <c r="C192" s="87" t="s">
        <v>762</v>
      </c>
      <c r="D192" s="90" t="str">
        <f t="shared" si="55"/>
        <v>Авария. Утечка фидера 40. 1QSF40</v>
      </c>
      <c r="E192" s="136" t="s">
        <v>4</v>
      </c>
      <c r="F192" s="431"/>
      <c r="G192" s="269"/>
      <c r="H192" s="269"/>
      <c r="I192" s="432">
        <v>4582</v>
      </c>
      <c r="J192" s="92" t="str">
        <f t="shared" si="59"/>
        <v>SPT18SKI/SKI_DOGGIO2.Alm48</v>
      </c>
      <c r="K192" s="137" t="str">
        <f t="shared" si="60"/>
        <v>18SKI</v>
      </c>
      <c r="L192" s="112" t="str">
        <f t="shared" si="60"/>
        <v>GGIO2</v>
      </c>
      <c r="M192" s="108" t="s">
        <v>738</v>
      </c>
      <c r="N192" s="119" t="str">
        <f t="shared" si="54"/>
        <v>SKI_DO</v>
      </c>
      <c r="O192" s="120"/>
      <c r="P192" s="121"/>
      <c r="Q192" s="122"/>
      <c r="R192" s="122"/>
      <c r="S192" s="82">
        <f t="shared" si="56"/>
        <v>40</v>
      </c>
      <c r="T192" s="82"/>
      <c r="U192" s="125"/>
      <c r="V192" s="126"/>
      <c r="W192" s="122"/>
      <c r="X192" s="127"/>
    </row>
    <row r="193" spans="1:24" x14ac:dyDescent="0.3">
      <c r="A193" s="304"/>
      <c r="B193" s="271"/>
      <c r="C193" s="87" t="s">
        <v>763</v>
      </c>
      <c r="D193" s="90" t="str">
        <f t="shared" si="55"/>
        <v>Авария. Утечка фидера 41. 1QSF41</v>
      </c>
      <c r="E193" s="136" t="s">
        <v>4</v>
      </c>
      <c r="F193" s="431"/>
      <c r="G193" s="269"/>
      <c r="H193" s="269"/>
      <c r="I193" s="432">
        <v>4582</v>
      </c>
      <c r="J193" s="92" t="str">
        <f t="shared" si="59"/>
        <v>SPT18SKI/SKI_DOGGIO2.Alm49</v>
      </c>
      <c r="K193" s="137" t="str">
        <f t="shared" si="60"/>
        <v>18SKI</v>
      </c>
      <c r="L193" s="112" t="str">
        <f t="shared" si="60"/>
        <v>GGIO2</v>
      </c>
      <c r="M193" s="108" t="s">
        <v>739</v>
      </c>
      <c r="N193" s="119" t="str">
        <f t="shared" si="54"/>
        <v>SKI_DO</v>
      </c>
      <c r="O193" s="120"/>
      <c r="P193" s="121"/>
      <c r="Q193" s="122"/>
      <c r="R193" s="122"/>
      <c r="S193" s="82">
        <f t="shared" si="56"/>
        <v>41</v>
      </c>
      <c r="T193" s="82"/>
      <c r="U193" s="125"/>
      <c r="V193" s="126"/>
      <c r="W193" s="122"/>
      <c r="X193" s="127"/>
    </row>
    <row r="194" spans="1:24" x14ac:dyDescent="0.3">
      <c r="A194" s="304"/>
      <c r="B194" s="271"/>
      <c r="C194" s="87" t="s">
        <v>764</v>
      </c>
      <c r="D194" s="90" t="str">
        <f t="shared" si="55"/>
        <v>Авария. Утечка фидера 42. 1QSF42</v>
      </c>
      <c r="E194" s="136" t="s">
        <v>4</v>
      </c>
      <c r="F194" s="431"/>
      <c r="G194" s="269"/>
      <c r="H194" s="269"/>
      <c r="I194" s="432">
        <v>4582</v>
      </c>
      <c r="J194" s="92" t="str">
        <f t="shared" si="59"/>
        <v>SPT18SKI/SKI_DOGGIO2.Alm50</v>
      </c>
      <c r="K194" s="137" t="str">
        <f t="shared" si="60"/>
        <v>18SKI</v>
      </c>
      <c r="L194" s="112" t="str">
        <f t="shared" si="60"/>
        <v>GGIO2</v>
      </c>
      <c r="M194" s="108" t="s">
        <v>740</v>
      </c>
      <c r="N194" s="119" t="str">
        <f t="shared" si="54"/>
        <v>SKI_DO</v>
      </c>
      <c r="O194" s="120"/>
      <c r="P194" s="121"/>
      <c r="Q194" s="122"/>
      <c r="R194" s="122"/>
      <c r="S194" s="82">
        <f t="shared" si="56"/>
        <v>42</v>
      </c>
      <c r="T194" s="82"/>
      <c r="U194" s="125"/>
      <c r="V194" s="126"/>
      <c r="W194" s="122"/>
      <c r="X194" s="127"/>
    </row>
    <row r="195" spans="1:24" x14ac:dyDescent="0.3">
      <c r="A195" s="304"/>
      <c r="B195" s="271"/>
      <c r="C195" s="87" t="s">
        <v>765</v>
      </c>
      <c r="D195" s="90" t="str">
        <f t="shared" si="55"/>
        <v>Авария. Утечка фидера 43. 1QSF43</v>
      </c>
      <c r="E195" s="136" t="s">
        <v>4</v>
      </c>
      <c r="F195" s="431"/>
      <c r="G195" s="269"/>
      <c r="H195" s="269"/>
      <c r="I195" s="432">
        <v>4582</v>
      </c>
      <c r="J195" s="92" t="str">
        <f t="shared" si="59"/>
        <v>SPT18SKI/SKI_DOGGIO2.Alm51</v>
      </c>
      <c r="K195" s="137" t="str">
        <f t="shared" si="60"/>
        <v>18SKI</v>
      </c>
      <c r="L195" s="112" t="str">
        <f t="shared" si="60"/>
        <v>GGIO2</v>
      </c>
      <c r="M195" s="108" t="s">
        <v>741</v>
      </c>
      <c r="N195" s="119" t="str">
        <f t="shared" si="54"/>
        <v>SKI_DO</v>
      </c>
      <c r="O195" s="120"/>
      <c r="P195" s="121"/>
      <c r="Q195" s="122"/>
      <c r="R195" s="122"/>
      <c r="S195" s="82">
        <f t="shared" si="56"/>
        <v>43</v>
      </c>
      <c r="T195" s="82"/>
      <c r="U195" s="125"/>
      <c r="V195" s="126"/>
      <c r="W195" s="122"/>
      <c r="X195" s="127"/>
    </row>
    <row r="196" spans="1:24" x14ac:dyDescent="0.3">
      <c r="A196" s="304"/>
      <c r="B196" s="271"/>
      <c r="C196" s="87" t="s">
        <v>766</v>
      </c>
      <c r="D196" s="90" t="str">
        <f t="shared" si="55"/>
        <v>Авария. Утечка фидера 44. 1QSF44</v>
      </c>
      <c r="E196" s="136" t="s">
        <v>4</v>
      </c>
      <c r="F196" s="431"/>
      <c r="G196" s="269"/>
      <c r="H196" s="269"/>
      <c r="I196" s="432">
        <v>4582</v>
      </c>
      <c r="J196" s="92" t="str">
        <f t="shared" si="59"/>
        <v>SPT18SKI/SKI_DOGGIO2.Alm52</v>
      </c>
      <c r="K196" s="137" t="str">
        <f t="shared" si="60"/>
        <v>18SKI</v>
      </c>
      <c r="L196" s="112" t="str">
        <f t="shared" si="60"/>
        <v>GGIO2</v>
      </c>
      <c r="M196" s="108" t="s">
        <v>742</v>
      </c>
      <c r="N196" s="119" t="str">
        <f t="shared" si="54"/>
        <v>SKI_DO</v>
      </c>
      <c r="O196" s="120"/>
      <c r="P196" s="121"/>
      <c r="Q196" s="122"/>
      <c r="R196" s="122"/>
      <c r="S196" s="82">
        <f t="shared" si="56"/>
        <v>44</v>
      </c>
      <c r="T196" s="82"/>
      <c r="U196" s="125"/>
      <c r="V196" s="126"/>
      <c r="W196" s="122"/>
      <c r="X196" s="127"/>
    </row>
    <row r="197" spans="1:24" x14ac:dyDescent="0.3">
      <c r="A197" s="304"/>
      <c r="B197" s="271"/>
      <c r="C197" s="87" t="s">
        <v>767</v>
      </c>
      <c r="D197" s="90" t="str">
        <f t="shared" si="55"/>
        <v>Авария. Утечка фидера 45. 1QSF45</v>
      </c>
      <c r="E197" s="136" t="s">
        <v>4</v>
      </c>
      <c r="F197" s="431"/>
      <c r="G197" s="269"/>
      <c r="H197" s="269"/>
      <c r="I197" s="432">
        <v>4582</v>
      </c>
      <c r="J197" s="92" t="str">
        <f t="shared" si="59"/>
        <v>SPT18SKI/SKI_DOGGIO2.Alm53</v>
      </c>
      <c r="K197" s="137" t="str">
        <f t="shared" si="60"/>
        <v>18SKI</v>
      </c>
      <c r="L197" s="112" t="str">
        <f t="shared" si="60"/>
        <v>GGIO2</v>
      </c>
      <c r="M197" s="108" t="s">
        <v>743</v>
      </c>
      <c r="N197" s="119" t="str">
        <f t="shared" si="54"/>
        <v>SKI_DO</v>
      </c>
      <c r="O197" s="120"/>
      <c r="P197" s="121"/>
      <c r="Q197" s="122"/>
      <c r="R197" s="122"/>
      <c r="S197" s="82">
        <f t="shared" si="56"/>
        <v>45</v>
      </c>
      <c r="T197" s="82"/>
      <c r="U197" s="125"/>
      <c r="V197" s="126"/>
      <c r="W197" s="122"/>
      <c r="X197" s="127"/>
    </row>
    <row r="198" spans="1:24" x14ac:dyDescent="0.3">
      <c r="A198" s="304"/>
      <c r="B198" s="271"/>
      <c r="C198" s="87" t="s">
        <v>768</v>
      </c>
      <c r="D198" s="90" t="str">
        <f t="shared" si="55"/>
        <v>Авария. Утечка фидера 46. 1QSF46</v>
      </c>
      <c r="E198" s="136" t="s">
        <v>4</v>
      </c>
      <c r="F198" s="431"/>
      <c r="G198" s="269"/>
      <c r="H198" s="269"/>
      <c r="I198" s="432">
        <v>4582</v>
      </c>
      <c r="J198" s="92" t="str">
        <f t="shared" si="59"/>
        <v>SPT18SKI/SKI_DOGGIO2.Alm54</v>
      </c>
      <c r="K198" s="137" t="str">
        <f t="shared" si="60"/>
        <v>18SKI</v>
      </c>
      <c r="L198" s="112" t="str">
        <f t="shared" si="60"/>
        <v>GGIO2</v>
      </c>
      <c r="M198" s="108" t="s">
        <v>744</v>
      </c>
      <c r="N198" s="119" t="str">
        <f t="shared" si="54"/>
        <v>SKI_DO</v>
      </c>
      <c r="O198" s="120"/>
      <c r="P198" s="121"/>
      <c r="Q198" s="122"/>
      <c r="R198" s="122"/>
      <c r="S198" s="82">
        <f t="shared" si="56"/>
        <v>46</v>
      </c>
      <c r="T198" s="82"/>
      <c r="U198" s="125"/>
      <c r="V198" s="126"/>
      <c r="W198" s="122"/>
      <c r="X198" s="127"/>
    </row>
    <row r="199" spans="1:24" x14ac:dyDescent="0.3">
      <c r="A199" s="304"/>
      <c r="B199" s="271"/>
      <c r="C199" s="87" t="s">
        <v>769</v>
      </c>
      <c r="D199" s="90" t="str">
        <f t="shared" si="55"/>
        <v>Авария. Утечка фидера 47. 1QSF47</v>
      </c>
      <c r="E199" s="136" t="s">
        <v>4</v>
      </c>
      <c r="F199" s="431"/>
      <c r="G199" s="269"/>
      <c r="H199" s="269"/>
      <c r="I199" s="432">
        <v>4582</v>
      </c>
      <c r="J199" s="92" t="str">
        <f t="shared" si="59"/>
        <v>SPT18SKI/SKI_DOGGIO2.Alm55</v>
      </c>
      <c r="K199" s="137" t="str">
        <f t="shared" si="60"/>
        <v>18SKI</v>
      </c>
      <c r="L199" s="112" t="str">
        <f t="shared" si="60"/>
        <v>GGIO2</v>
      </c>
      <c r="M199" s="108" t="s">
        <v>745</v>
      </c>
      <c r="N199" s="119" t="str">
        <f t="shared" si="54"/>
        <v>SKI_DO</v>
      </c>
      <c r="O199" s="120"/>
      <c r="P199" s="121"/>
      <c r="Q199" s="122"/>
      <c r="R199" s="122"/>
      <c r="S199" s="82">
        <f t="shared" si="56"/>
        <v>47</v>
      </c>
      <c r="T199" s="82"/>
      <c r="U199" s="125"/>
      <c r="V199" s="126"/>
      <c r="W199" s="122"/>
      <c r="X199" s="127"/>
    </row>
    <row r="200" spans="1:24" x14ac:dyDescent="0.3">
      <c r="A200" s="440"/>
      <c r="B200" s="271"/>
      <c r="C200" s="87" t="s">
        <v>770</v>
      </c>
      <c r="D200" s="90" t="str">
        <f t="shared" si="55"/>
        <v>Авария. Утечка фидера 48. 1QSF48</v>
      </c>
      <c r="E200" s="136" t="s">
        <v>4</v>
      </c>
      <c r="F200" s="431"/>
      <c r="G200" s="269"/>
      <c r="H200" s="269"/>
      <c r="I200" s="432">
        <v>4582</v>
      </c>
      <c r="J200" s="92" t="str">
        <f t="shared" si="59"/>
        <v>SPT18SKI/SKI_DOGGIO2.Alm56</v>
      </c>
      <c r="K200" s="137" t="str">
        <f t="shared" si="60"/>
        <v>18SKI</v>
      </c>
      <c r="L200" s="112" t="str">
        <f t="shared" si="60"/>
        <v>GGIO2</v>
      </c>
      <c r="M200" s="108" t="s">
        <v>746</v>
      </c>
      <c r="N200" s="119" t="str">
        <f t="shared" si="54"/>
        <v>SKI_DO</v>
      </c>
      <c r="O200" s="120"/>
      <c r="P200" s="121"/>
      <c r="Q200" s="122"/>
      <c r="R200" s="122"/>
      <c r="S200" s="82">
        <f t="shared" si="56"/>
        <v>48</v>
      </c>
      <c r="T200" s="82"/>
      <c r="U200" s="125"/>
      <c r="V200" s="126"/>
      <c r="W200" s="122"/>
      <c r="X200" s="127"/>
    </row>
    <row r="201" spans="1:24" x14ac:dyDescent="0.3">
      <c r="A201" s="252"/>
      <c r="B201" s="253"/>
      <c r="C201" s="253"/>
      <c r="D201" s="253"/>
      <c r="E201" s="253"/>
      <c r="F201" s="253"/>
      <c r="G201" s="253"/>
      <c r="H201" s="253"/>
      <c r="I201" s="253"/>
      <c r="J201" s="254"/>
      <c r="K201" s="103"/>
      <c r="L201" s="104"/>
      <c r="M201" s="163"/>
      <c r="N201" s="82"/>
      <c r="O201" s="82"/>
      <c r="P201" s="98"/>
      <c r="Q201" s="82"/>
      <c r="R201" s="82"/>
      <c r="S201" s="82"/>
      <c r="T201" s="82"/>
      <c r="U201" s="82"/>
      <c r="V201" s="82"/>
      <c r="W201" s="82"/>
      <c r="X201" s="82"/>
    </row>
    <row r="202" spans="1:24" x14ac:dyDescent="0.3">
      <c r="A202" s="273" t="s">
        <v>680</v>
      </c>
      <c r="B202" s="273"/>
      <c r="C202" s="273"/>
      <c r="D202" s="273"/>
      <c r="E202" s="273"/>
      <c r="F202" s="273"/>
      <c r="G202" s="273"/>
      <c r="H202" s="273"/>
      <c r="I202" s="273"/>
      <c r="J202" s="273"/>
      <c r="K202" s="103"/>
      <c r="L202" s="104"/>
      <c r="M202" s="82"/>
      <c r="N202" s="82"/>
      <c r="O202" s="82"/>
      <c r="P202" s="98"/>
      <c r="Q202" s="82"/>
      <c r="R202" s="82"/>
      <c r="S202" s="82"/>
      <c r="T202" s="82"/>
      <c r="U202" s="82"/>
      <c r="V202" s="82"/>
      <c r="W202" s="82"/>
      <c r="X202" s="82"/>
    </row>
    <row r="203" spans="1:24" x14ac:dyDescent="0.3">
      <c r="A203" s="277">
        <v>31</v>
      </c>
      <c r="B203" s="268" t="s">
        <v>7</v>
      </c>
      <c r="C203" s="216" t="s">
        <v>12</v>
      </c>
      <c r="D203" s="105" t="str">
        <f>CONCATENATE("1QSF",P203," ",Q203)</f>
        <v>1QSF25 Положение</v>
      </c>
      <c r="E203" s="92" t="s">
        <v>207</v>
      </c>
      <c r="F203" s="278" t="s">
        <v>28</v>
      </c>
      <c r="G203" s="281" t="s">
        <v>353</v>
      </c>
      <c r="H203" s="282" t="s">
        <v>59</v>
      </c>
      <c r="I203" s="106">
        <v>4112</v>
      </c>
      <c r="J203" s="107" t="str">
        <f>IF(OR(D203="",D203="-"),"",CONCATENATE("SPT",K203,"/",N203,L203,".",M203))</f>
        <v>SPT18DC/P1A4_GGIO2.Ind1</v>
      </c>
      <c r="K203" s="177" t="s">
        <v>791</v>
      </c>
      <c r="L203" s="178" t="s">
        <v>245</v>
      </c>
      <c r="M203" s="104" t="s">
        <v>36</v>
      </c>
      <c r="N203" s="179" t="s">
        <v>631</v>
      </c>
      <c r="O203" s="82"/>
      <c r="P203" s="98">
        <v>25</v>
      </c>
      <c r="Q203" s="82" t="s">
        <v>209</v>
      </c>
      <c r="R203" s="82"/>
      <c r="S203" s="82">
        <f t="shared" ref="S203:S218" si="61">I203-4095</f>
        <v>17</v>
      </c>
      <c r="T203" s="82" t="str">
        <f t="shared" ref="T203:T218" si="62">_xlfn.CONCAT($T$1,S203)</f>
        <v>lb_dd17</v>
      </c>
      <c r="U203" s="82">
        <f t="shared" ref="U203:U218" si="63">S203+1999</f>
        <v>2016</v>
      </c>
      <c r="V203" s="82">
        <v>809</v>
      </c>
      <c r="W203" s="82">
        <v>1058</v>
      </c>
      <c r="X203" s="82"/>
    </row>
    <row r="204" spans="1:24" x14ac:dyDescent="0.3">
      <c r="A204" s="277"/>
      <c r="B204" s="268"/>
      <c r="C204" s="216" t="s">
        <v>8</v>
      </c>
      <c r="D204" s="105" t="str">
        <f t="shared" ref="D204:D218" si="64">CONCATENATE("1QSF",P204," ",Q204)</f>
        <v>1QSF25 Состояние</v>
      </c>
      <c r="E204" s="92" t="s">
        <v>208</v>
      </c>
      <c r="F204" s="279"/>
      <c r="G204" s="281"/>
      <c r="H204" s="283"/>
      <c r="I204" s="106">
        <v>4113</v>
      </c>
      <c r="J204" s="107" t="str">
        <f t="shared" ref="J204:J218" si="65">IF(OR(D204="",D204="-"),"",CONCATENATE("SPT",K204,"/",N204,L204,".",M204))</f>
        <v>SPT18DC/P1A4_GGIO2.Alm1</v>
      </c>
      <c r="K204" s="103" t="str">
        <f>K203</f>
        <v>18DC</v>
      </c>
      <c r="L204" s="104" t="str">
        <f>L203</f>
        <v>GGIO2</v>
      </c>
      <c r="M204" s="108" t="s">
        <v>37</v>
      </c>
      <c r="N204" s="82" t="str">
        <f>N203</f>
        <v>P1A4_</v>
      </c>
      <c r="O204" s="82"/>
      <c r="P204" s="98">
        <v>25</v>
      </c>
      <c r="Q204" s="82" t="s">
        <v>210</v>
      </c>
      <c r="R204" s="82"/>
      <c r="S204" s="82">
        <f t="shared" si="61"/>
        <v>18</v>
      </c>
      <c r="T204" s="82" t="str">
        <f t="shared" si="62"/>
        <v>lb_dd18</v>
      </c>
      <c r="U204" s="82">
        <f t="shared" si="63"/>
        <v>2017</v>
      </c>
      <c r="V204" s="82"/>
      <c r="W204" s="82"/>
      <c r="X204" s="82"/>
    </row>
    <row r="205" spans="1:24" x14ac:dyDescent="0.3">
      <c r="A205" s="277"/>
      <c r="B205" s="268"/>
      <c r="C205" s="216" t="s">
        <v>9</v>
      </c>
      <c r="D205" s="105" t="str">
        <f t="shared" si="64"/>
        <v>1QSF26 Положение</v>
      </c>
      <c r="E205" s="92" t="s">
        <v>207</v>
      </c>
      <c r="F205" s="279"/>
      <c r="G205" s="281"/>
      <c r="H205" s="283"/>
      <c r="I205" s="106">
        <v>4114</v>
      </c>
      <c r="J205" s="107" t="str">
        <f t="shared" si="65"/>
        <v>SPT18DC/P1A4_GGIO2.Ind2</v>
      </c>
      <c r="K205" s="103" t="str">
        <f t="shared" ref="K205:K218" si="66">K204</f>
        <v>18DC</v>
      </c>
      <c r="L205" s="104" t="str">
        <f t="shared" ref="L205:L218" si="67">L204</f>
        <v>GGIO2</v>
      </c>
      <c r="M205" s="104" t="s">
        <v>38</v>
      </c>
      <c r="N205" s="82" t="str">
        <f t="shared" ref="N205:N218" si="68">N204</f>
        <v>P1A4_</v>
      </c>
      <c r="O205" s="82"/>
      <c r="P205" s="98">
        <v>26</v>
      </c>
      <c r="Q205" s="82" t="s">
        <v>209</v>
      </c>
      <c r="R205" s="82"/>
      <c r="S205" s="82">
        <f t="shared" si="61"/>
        <v>19</v>
      </c>
      <c r="T205" s="82" t="str">
        <f t="shared" si="62"/>
        <v>lb_dd19</v>
      </c>
      <c r="U205" s="82">
        <f t="shared" si="63"/>
        <v>2018</v>
      </c>
      <c r="V205" s="82"/>
      <c r="W205" s="82"/>
      <c r="X205" s="82"/>
    </row>
    <row r="206" spans="1:24" x14ac:dyDescent="0.3">
      <c r="A206" s="277"/>
      <c r="B206" s="268"/>
      <c r="C206" s="216" t="s">
        <v>13</v>
      </c>
      <c r="D206" s="105" t="str">
        <f t="shared" si="64"/>
        <v>1QSF26 Состояние</v>
      </c>
      <c r="E206" s="92" t="s">
        <v>208</v>
      </c>
      <c r="F206" s="279"/>
      <c r="G206" s="281"/>
      <c r="H206" s="283"/>
      <c r="I206" s="106">
        <v>4115</v>
      </c>
      <c r="J206" s="107" t="str">
        <f t="shared" si="65"/>
        <v>SPT18DC/P1A4_GGIO2.Alm2</v>
      </c>
      <c r="K206" s="103" t="str">
        <f t="shared" si="66"/>
        <v>18DC</v>
      </c>
      <c r="L206" s="104" t="str">
        <f t="shared" si="67"/>
        <v>GGIO2</v>
      </c>
      <c r="M206" s="108" t="s">
        <v>39</v>
      </c>
      <c r="N206" s="82" t="str">
        <f t="shared" si="68"/>
        <v>P1A4_</v>
      </c>
      <c r="O206" s="82"/>
      <c r="P206" s="98">
        <v>26</v>
      </c>
      <c r="Q206" s="82" t="s">
        <v>210</v>
      </c>
      <c r="R206" s="82"/>
      <c r="S206" s="82">
        <f t="shared" si="61"/>
        <v>20</v>
      </c>
      <c r="T206" s="82" t="str">
        <f t="shared" si="62"/>
        <v>lb_dd20</v>
      </c>
      <c r="U206" s="82">
        <f t="shared" si="63"/>
        <v>2019</v>
      </c>
      <c r="V206" s="82"/>
      <c r="W206" s="82"/>
      <c r="X206" s="82"/>
    </row>
    <row r="207" spans="1:24" x14ac:dyDescent="0.3">
      <c r="A207" s="277"/>
      <c r="B207" s="268"/>
      <c r="C207" s="216" t="s">
        <v>14</v>
      </c>
      <c r="D207" s="105" t="str">
        <f t="shared" si="64"/>
        <v>1QSF27 Положение</v>
      </c>
      <c r="E207" s="92" t="s">
        <v>207</v>
      </c>
      <c r="F207" s="279"/>
      <c r="G207" s="281"/>
      <c r="H207" s="283"/>
      <c r="I207" s="106">
        <v>4116</v>
      </c>
      <c r="J207" s="107" t="str">
        <f t="shared" si="65"/>
        <v>SPT18DC/P1A4_GGIO2.Ind3</v>
      </c>
      <c r="K207" s="103" t="str">
        <f t="shared" si="66"/>
        <v>18DC</v>
      </c>
      <c r="L207" s="104" t="str">
        <f t="shared" si="67"/>
        <v>GGIO2</v>
      </c>
      <c r="M207" s="104" t="s">
        <v>40</v>
      </c>
      <c r="N207" s="82" t="str">
        <f t="shared" si="68"/>
        <v>P1A4_</v>
      </c>
      <c r="O207" s="82"/>
      <c r="P207" s="98">
        <v>27</v>
      </c>
      <c r="Q207" s="82" t="s">
        <v>209</v>
      </c>
      <c r="R207" s="82"/>
      <c r="S207" s="82">
        <f t="shared" si="61"/>
        <v>21</v>
      </c>
      <c r="T207" s="82" t="str">
        <f t="shared" si="62"/>
        <v>lb_dd21</v>
      </c>
      <c r="U207" s="82">
        <f t="shared" si="63"/>
        <v>2020</v>
      </c>
      <c r="V207" s="82"/>
      <c r="W207" s="82"/>
      <c r="X207" s="82"/>
    </row>
    <row r="208" spans="1:24" x14ac:dyDescent="0.3">
      <c r="A208" s="277"/>
      <c r="B208" s="268"/>
      <c r="C208" s="216" t="s">
        <v>15</v>
      </c>
      <c r="D208" s="105" t="str">
        <f t="shared" si="64"/>
        <v>1QSF27 Состояние</v>
      </c>
      <c r="E208" s="92" t="s">
        <v>208</v>
      </c>
      <c r="F208" s="279"/>
      <c r="G208" s="281"/>
      <c r="H208" s="283"/>
      <c r="I208" s="106">
        <v>4117</v>
      </c>
      <c r="J208" s="107" t="str">
        <f t="shared" si="65"/>
        <v>SPT18DC/P1A4_GGIO2.Alm3</v>
      </c>
      <c r="K208" s="103" t="str">
        <f t="shared" si="66"/>
        <v>18DC</v>
      </c>
      <c r="L208" s="104" t="str">
        <f t="shared" si="67"/>
        <v>GGIO2</v>
      </c>
      <c r="M208" s="108" t="s">
        <v>41</v>
      </c>
      <c r="N208" s="82" t="str">
        <f t="shared" si="68"/>
        <v>P1A4_</v>
      </c>
      <c r="O208" s="82"/>
      <c r="P208" s="98">
        <v>27</v>
      </c>
      <c r="Q208" s="82" t="s">
        <v>210</v>
      </c>
      <c r="R208" s="82"/>
      <c r="S208" s="82">
        <f t="shared" si="61"/>
        <v>22</v>
      </c>
      <c r="T208" s="82" t="str">
        <f t="shared" si="62"/>
        <v>lb_dd22</v>
      </c>
      <c r="U208" s="82">
        <f t="shared" si="63"/>
        <v>2021</v>
      </c>
      <c r="V208" s="82"/>
      <c r="W208" s="82"/>
      <c r="X208" s="82"/>
    </row>
    <row r="209" spans="1:24" x14ac:dyDescent="0.3">
      <c r="A209" s="277"/>
      <c r="B209" s="268"/>
      <c r="C209" s="216" t="s">
        <v>16</v>
      </c>
      <c r="D209" s="105" t="str">
        <f t="shared" si="64"/>
        <v>1QSF28 Положение</v>
      </c>
      <c r="E209" s="92" t="s">
        <v>207</v>
      </c>
      <c r="F209" s="279"/>
      <c r="G209" s="281"/>
      <c r="H209" s="283"/>
      <c r="I209" s="106">
        <v>4118</v>
      </c>
      <c r="J209" s="107" t="str">
        <f t="shared" si="65"/>
        <v>SPT18DC/P1A4_GGIO2.Ind4</v>
      </c>
      <c r="K209" s="103" t="str">
        <f t="shared" si="66"/>
        <v>18DC</v>
      </c>
      <c r="L209" s="104" t="str">
        <f t="shared" si="67"/>
        <v>GGIO2</v>
      </c>
      <c r="M209" s="104" t="s">
        <v>42</v>
      </c>
      <c r="N209" s="82" t="str">
        <f t="shared" si="68"/>
        <v>P1A4_</v>
      </c>
      <c r="O209" s="82"/>
      <c r="P209" s="98">
        <v>28</v>
      </c>
      <c r="Q209" s="82" t="s">
        <v>209</v>
      </c>
      <c r="R209" s="82"/>
      <c r="S209" s="82">
        <f t="shared" si="61"/>
        <v>23</v>
      </c>
      <c r="T209" s="82" t="str">
        <f t="shared" si="62"/>
        <v>lb_dd23</v>
      </c>
      <c r="U209" s="82">
        <f t="shared" si="63"/>
        <v>2022</v>
      </c>
      <c r="V209" s="82"/>
      <c r="W209" s="82"/>
      <c r="X209" s="82"/>
    </row>
    <row r="210" spans="1:24" x14ac:dyDescent="0.3">
      <c r="A210" s="277"/>
      <c r="B210" s="268"/>
      <c r="C210" s="216" t="s">
        <v>17</v>
      </c>
      <c r="D210" s="105" t="str">
        <f t="shared" si="64"/>
        <v>1QSF28 Состояние</v>
      </c>
      <c r="E210" s="92" t="s">
        <v>208</v>
      </c>
      <c r="F210" s="279"/>
      <c r="G210" s="281"/>
      <c r="H210" s="283"/>
      <c r="I210" s="106">
        <v>4119</v>
      </c>
      <c r="J210" s="107" t="str">
        <f t="shared" si="65"/>
        <v>SPT18DC/P1A4_GGIO2.Alm4</v>
      </c>
      <c r="K210" s="103" t="str">
        <f t="shared" si="66"/>
        <v>18DC</v>
      </c>
      <c r="L210" s="104" t="str">
        <f t="shared" si="67"/>
        <v>GGIO2</v>
      </c>
      <c r="M210" s="108" t="s">
        <v>43</v>
      </c>
      <c r="N210" s="82" t="str">
        <f t="shared" si="68"/>
        <v>P1A4_</v>
      </c>
      <c r="O210" s="82"/>
      <c r="P210" s="98">
        <v>28</v>
      </c>
      <c r="Q210" s="82" t="s">
        <v>210</v>
      </c>
      <c r="R210" s="82"/>
      <c r="S210" s="82">
        <f t="shared" si="61"/>
        <v>24</v>
      </c>
      <c r="T210" s="82" t="str">
        <f t="shared" si="62"/>
        <v>lb_dd24</v>
      </c>
      <c r="U210" s="82">
        <f t="shared" si="63"/>
        <v>2023</v>
      </c>
      <c r="V210" s="82"/>
      <c r="W210" s="82"/>
      <c r="X210" s="82"/>
    </row>
    <row r="211" spans="1:24" x14ac:dyDescent="0.3">
      <c r="A211" s="277"/>
      <c r="B211" s="268"/>
      <c r="C211" s="216" t="s">
        <v>18</v>
      </c>
      <c r="D211" s="105" t="str">
        <f t="shared" si="64"/>
        <v>1QSF29 Положение</v>
      </c>
      <c r="E211" s="92" t="s">
        <v>207</v>
      </c>
      <c r="F211" s="279"/>
      <c r="G211" s="281"/>
      <c r="H211" s="283"/>
      <c r="I211" s="106">
        <v>4120</v>
      </c>
      <c r="J211" s="107" t="str">
        <f t="shared" si="65"/>
        <v>SPT18DC/P1A4_GGIO2.Ind5</v>
      </c>
      <c r="K211" s="103" t="str">
        <f t="shared" si="66"/>
        <v>18DC</v>
      </c>
      <c r="L211" s="104" t="str">
        <f t="shared" si="67"/>
        <v>GGIO2</v>
      </c>
      <c r="M211" s="104" t="s">
        <v>44</v>
      </c>
      <c r="N211" s="82" t="str">
        <f t="shared" si="68"/>
        <v>P1A4_</v>
      </c>
      <c r="O211" s="82"/>
      <c r="P211" s="109" t="s">
        <v>771</v>
      </c>
      <c r="Q211" s="82" t="s">
        <v>209</v>
      </c>
      <c r="R211" s="82"/>
      <c r="S211" s="82">
        <f t="shared" si="61"/>
        <v>25</v>
      </c>
      <c r="T211" s="82" t="str">
        <f t="shared" si="62"/>
        <v>lb_dd25</v>
      </c>
      <c r="U211" s="82">
        <f t="shared" si="63"/>
        <v>2024</v>
      </c>
      <c r="V211" s="82"/>
      <c r="W211" s="82"/>
      <c r="X211" s="82"/>
    </row>
    <row r="212" spans="1:24" x14ac:dyDescent="0.3">
      <c r="A212" s="277"/>
      <c r="B212" s="268"/>
      <c r="C212" s="216" t="s">
        <v>19</v>
      </c>
      <c r="D212" s="105" t="str">
        <f t="shared" si="64"/>
        <v>1QSF29 Состояние</v>
      </c>
      <c r="E212" s="92" t="s">
        <v>208</v>
      </c>
      <c r="F212" s="279"/>
      <c r="G212" s="281"/>
      <c r="H212" s="283"/>
      <c r="I212" s="106">
        <v>4121</v>
      </c>
      <c r="J212" s="107" t="str">
        <f t="shared" si="65"/>
        <v>SPT18DC/P1A4_GGIO2.Alm5</v>
      </c>
      <c r="K212" s="103" t="str">
        <f t="shared" si="66"/>
        <v>18DC</v>
      </c>
      <c r="L212" s="104" t="str">
        <f t="shared" si="67"/>
        <v>GGIO2</v>
      </c>
      <c r="M212" s="108" t="s">
        <v>45</v>
      </c>
      <c r="N212" s="82" t="str">
        <f t="shared" si="68"/>
        <v>P1A4_</v>
      </c>
      <c r="O212" s="82"/>
      <c r="P212" s="109" t="s">
        <v>771</v>
      </c>
      <c r="Q212" s="82" t="s">
        <v>210</v>
      </c>
      <c r="R212" s="82"/>
      <c r="S212" s="82">
        <f t="shared" si="61"/>
        <v>26</v>
      </c>
      <c r="T212" s="82" t="str">
        <f t="shared" si="62"/>
        <v>lb_dd26</v>
      </c>
      <c r="U212" s="82">
        <f t="shared" si="63"/>
        <v>2025</v>
      </c>
      <c r="V212" s="82"/>
      <c r="W212" s="82"/>
      <c r="X212" s="82"/>
    </row>
    <row r="213" spans="1:24" x14ac:dyDescent="0.3">
      <c r="A213" s="277"/>
      <c r="B213" s="268"/>
      <c r="C213" s="216" t="s">
        <v>20</v>
      </c>
      <c r="D213" s="105" t="str">
        <f t="shared" si="64"/>
        <v>1QSF30 Положение</v>
      </c>
      <c r="E213" s="92" t="s">
        <v>207</v>
      </c>
      <c r="F213" s="279"/>
      <c r="G213" s="281"/>
      <c r="H213" s="283"/>
      <c r="I213" s="106">
        <v>4122</v>
      </c>
      <c r="J213" s="107" t="str">
        <f t="shared" si="65"/>
        <v>SPT18DC/P1A4_GGIO2.Ind6</v>
      </c>
      <c r="K213" s="103" t="str">
        <f t="shared" si="66"/>
        <v>18DC</v>
      </c>
      <c r="L213" s="104" t="str">
        <f t="shared" si="67"/>
        <v>GGIO2</v>
      </c>
      <c r="M213" s="104" t="s">
        <v>46</v>
      </c>
      <c r="N213" s="82" t="str">
        <f t="shared" si="68"/>
        <v>P1A4_</v>
      </c>
      <c r="O213" s="82"/>
      <c r="P213" s="109" t="s">
        <v>772</v>
      </c>
      <c r="Q213" s="82" t="s">
        <v>209</v>
      </c>
      <c r="R213" s="82"/>
      <c r="S213" s="82">
        <f t="shared" si="61"/>
        <v>27</v>
      </c>
      <c r="T213" s="82" t="str">
        <f t="shared" si="62"/>
        <v>lb_dd27</v>
      </c>
      <c r="U213" s="82">
        <f t="shared" si="63"/>
        <v>2026</v>
      </c>
      <c r="V213" s="82"/>
      <c r="W213" s="82"/>
      <c r="X213" s="82"/>
    </row>
    <row r="214" spans="1:24" x14ac:dyDescent="0.3">
      <c r="A214" s="277"/>
      <c r="B214" s="268"/>
      <c r="C214" s="216" t="s">
        <v>21</v>
      </c>
      <c r="D214" s="105" t="str">
        <f t="shared" si="64"/>
        <v>1QSF30 Состояние</v>
      </c>
      <c r="E214" s="92" t="s">
        <v>208</v>
      </c>
      <c r="F214" s="279"/>
      <c r="G214" s="281"/>
      <c r="H214" s="283"/>
      <c r="I214" s="106">
        <v>4123</v>
      </c>
      <c r="J214" s="107" t="str">
        <f t="shared" si="65"/>
        <v>SPT18DC/P1A4_GGIO2.Alm6</v>
      </c>
      <c r="K214" s="103" t="str">
        <f t="shared" si="66"/>
        <v>18DC</v>
      </c>
      <c r="L214" s="104" t="str">
        <f t="shared" si="67"/>
        <v>GGIO2</v>
      </c>
      <c r="M214" s="108" t="s">
        <v>47</v>
      </c>
      <c r="N214" s="82" t="str">
        <f t="shared" si="68"/>
        <v>P1A4_</v>
      </c>
      <c r="O214" s="82"/>
      <c r="P214" s="109" t="s">
        <v>772</v>
      </c>
      <c r="Q214" s="82" t="s">
        <v>210</v>
      </c>
      <c r="R214" s="82"/>
      <c r="S214" s="82">
        <f t="shared" si="61"/>
        <v>28</v>
      </c>
      <c r="T214" s="82" t="str">
        <f t="shared" si="62"/>
        <v>lb_dd28</v>
      </c>
      <c r="U214" s="82">
        <f t="shared" si="63"/>
        <v>2027</v>
      </c>
      <c r="V214" s="82"/>
      <c r="W214" s="82"/>
      <c r="X214" s="82"/>
    </row>
    <row r="215" spans="1:24" x14ac:dyDescent="0.3">
      <c r="A215" s="277"/>
      <c r="B215" s="268"/>
      <c r="C215" s="216" t="s">
        <v>22</v>
      </c>
      <c r="D215" s="105" t="str">
        <f t="shared" si="64"/>
        <v>1QSF31 Положение</v>
      </c>
      <c r="E215" s="92" t="s">
        <v>207</v>
      </c>
      <c r="F215" s="279"/>
      <c r="G215" s="281"/>
      <c r="H215" s="283"/>
      <c r="I215" s="106">
        <v>4124</v>
      </c>
      <c r="J215" s="107" t="str">
        <f t="shared" si="65"/>
        <v>SPT18DC/P1A4_GGIO2.Ind7</v>
      </c>
      <c r="K215" s="103" t="str">
        <f t="shared" si="66"/>
        <v>18DC</v>
      </c>
      <c r="L215" s="104" t="str">
        <f t="shared" si="67"/>
        <v>GGIO2</v>
      </c>
      <c r="M215" s="104" t="s">
        <v>48</v>
      </c>
      <c r="N215" s="82" t="str">
        <f t="shared" si="68"/>
        <v>P1A4_</v>
      </c>
      <c r="O215" s="82"/>
      <c r="P215" s="109" t="s">
        <v>773</v>
      </c>
      <c r="Q215" s="82" t="s">
        <v>209</v>
      </c>
      <c r="R215" s="82"/>
      <c r="S215" s="82">
        <f t="shared" si="61"/>
        <v>29</v>
      </c>
      <c r="T215" s="82" t="str">
        <f t="shared" si="62"/>
        <v>lb_dd29</v>
      </c>
      <c r="U215" s="82">
        <f t="shared" si="63"/>
        <v>2028</v>
      </c>
      <c r="V215" s="82"/>
      <c r="W215" s="82"/>
      <c r="X215" s="82"/>
    </row>
    <row r="216" spans="1:24" x14ac:dyDescent="0.3">
      <c r="A216" s="277"/>
      <c r="B216" s="268"/>
      <c r="C216" s="216" t="s">
        <v>23</v>
      </c>
      <c r="D216" s="105" t="str">
        <f t="shared" si="64"/>
        <v>1QSF31 Состояние</v>
      </c>
      <c r="E216" s="92" t="s">
        <v>208</v>
      </c>
      <c r="F216" s="279"/>
      <c r="G216" s="281"/>
      <c r="H216" s="283"/>
      <c r="I216" s="106">
        <v>4125</v>
      </c>
      <c r="J216" s="107" t="str">
        <f t="shared" si="65"/>
        <v>SPT18DC/P1A4_GGIO2.Alm7</v>
      </c>
      <c r="K216" s="103" t="str">
        <f t="shared" si="66"/>
        <v>18DC</v>
      </c>
      <c r="L216" s="104" t="str">
        <f t="shared" si="67"/>
        <v>GGIO2</v>
      </c>
      <c r="M216" s="108" t="s">
        <v>49</v>
      </c>
      <c r="N216" s="82" t="str">
        <f t="shared" si="68"/>
        <v>P1A4_</v>
      </c>
      <c r="O216" s="82"/>
      <c r="P216" s="109" t="s">
        <v>773</v>
      </c>
      <c r="Q216" s="82" t="s">
        <v>210</v>
      </c>
      <c r="R216" s="82"/>
      <c r="S216" s="82">
        <f t="shared" si="61"/>
        <v>30</v>
      </c>
      <c r="T216" s="82" t="str">
        <f t="shared" si="62"/>
        <v>lb_dd30</v>
      </c>
      <c r="U216" s="82">
        <f t="shared" si="63"/>
        <v>2029</v>
      </c>
      <c r="V216" s="82"/>
      <c r="W216" s="82"/>
      <c r="X216" s="82"/>
    </row>
    <row r="217" spans="1:24" x14ac:dyDescent="0.3">
      <c r="A217" s="277"/>
      <c r="B217" s="268"/>
      <c r="C217" s="216" t="s">
        <v>24</v>
      </c>
      <c r="D217" s="105" t="str">
        <f t="shared" si="64"/>
        <v>1QSF32 Положение</v>
      </c>
      <c r="E217" s="92" t="s">
        <v>207</v>
      </c>
      <c r="F217" s="279"/>
      <c r="G217" s="281"/>
      <c r="H217" s="283"/>
      <c r="I217" s="106">
        <v>4126</v>
      </c>
      <c r="J217" s="107" t="str">
        <f t="shared" si="65"/>
        <v>SPT18DC/P1A4_GGIO2.Ind8</v>
      </c>
      <c r="K217" s="103" t="str">
        <f t="shared" si="66"/>
        <v>18DC</v>
      </c>
      <c r="L217" s="104" t="str">
        <f t="shared" si="67"/>
        <v>GGIO2</v>
      </c>
      <c r="M217" s="104" t="s">
        <v>55</v>
      </c>
      <c r="N217" s="82" t="str">
        <f t="shared" si="68"/>
        <v>P1A4_</v>
      </c>
      <c r="O217" s="82"/>
      <c r="P217" s="109" t="s">
        <v>774</v>
      </c>
      <c r="Q217" s="82" t="s">
        <v>209</v>
      </c>
      <c r="R217" s="82"/>
      <c r="S217" s="82">
        <f t="shared" si="61"/>
        <v>31</v>
      </c>
      <c r="T217" s="82" t="str">
        <f t="shared" si="62"/>
        <v>lb_dd31</v>
      </c>
      <c r="U217" s="82">
        <f t="shared" si="63"/>
        <v>2030</v>
      </c>
      <c r="V217" s="82"/>
      <c r="W217" s="82"/>
      <c r="X217" s="82"/>
    </row>
    <row r="218" spans="1:24" x14ac:dyDescent="0.3">
      <c r="A218" s="277"/>
      <c r="B218" s="268"/>
      <c r="C218" s="216" t="s">
        <v>25</v>
      </c>
      <c r="D218" s="105" t="str">
        <f t="shared" si="64"/>
        <v>1QSF32 Состояние</v>
      </c>
      <c r="E218" s="92" t="s">
        <v>208</v>
      </c>
      <c r="F218" s="280"/>
      <c r="G218" s="281"/>
      <c r="H218" s="284"/>
      <c r="I218" s="106">
        <v>4127</v>
      </c>
      <c r="J218" s="107" t="str">
        <f t="shared" si="65"/>
        <v>SPT18DC/P1A4_GGIO2.Alm8</v>
      </c>
      <c r="K218" s="103" t="str">
        <f t="shared" si="66"/>
        <v>18DC</v>
      </c>
      <c r="L218" s="104" t="str">
        <f t="shared" si="67"/>
        <v>GGIO2</v>
      </c>
      <c r="M218" s="108" t="s">
        <v>56</v>
      </c>
      <c r="N218" s="82" t="str">
        <f t="shared" si="68"/>
        <v>P1A4_</v>
      </c>
      <c r="O218" s="82"/>
      <c r="P218" s="109" t="s">
        <v>774</v>
      </c>
      <c r="Q218" s="82" t="s">
        <v>210</v>
      </c>
      <c r="R218" s="82"/>
      <c r="S218" s="82">
        <f t="shared" si="61"/>
        <v>32</v>
      </c>
      <c r="T218" s="82" t="str">
        <f t="shared" si="62"/>
        <v>lb_dd32</v>
      </c>
      <c r="U218" s="82">
        <f t="shared" si="63"/>
        <v>2031</v>
      </c>
      <c r="V218" s="82"/>
      <c r="W218" s="82"/>
      <c r="X218" s="82"/>
    </row>
    <row r="219" spans="1:24" x14ac:dyDescent="0.3">
      <c r="A219" s="252"/>
      <c r="B219" s="253"/>
      <c r="C219" s="253"/>
      <c r="D219" s="253"/>
      <c r="E219" s="253"/>
      <c r="F219" s="253"/>
      <c r="G219" s="253"/>
      <c r="H219" s="253"/>
      <c r="I219" s="253"/>
      <c r="J219" s="254"/>
      <c r="K219" s="103"/>
      <c r="L219" s="104"/>
      <c r="M219" s="163"/>
      <c r="N219" s="82"/>
      <c r="O219" s="82"/>
      <c r="P219" s="98"/>
      <c r="Q219" s="82"/>
      <c r="R219" s="82"/>
      <c r="S219" s="82"/>
      <c r="T219" s="82"/>
      <c r="U219" s="82"/>
      <c r="V219" s="82"/>
      <c r="W219" s="82"/>
      <c r="X219" s="82"/>
    </row>
    <row r="220" spans="1:24" x14ac:dyDescent="0.3">
      <c r="A220" s="273" t="s">
        <v>679</v>
      </c>
      <c r="B220" s="273"/>
      <c r="C220" s="273"/>
      <c r="D220" s="273"/>
      <c r="E220" s="273"/>
      <c r="F220" s="273"/>
      <c r="G220" s="273"/>
      <c r="H220" s="273"/>
      <c r="I220" s="273"/>
      <c r="J220" s="273"/>
      <c r="K220" s="103"/>
      <c r="L220" s="104"/>
      <c r="M220" s="82"/>
      <c r="N220" s="82"/>
      <c r="O220" s="82"/>
      <c r="P220" s="98"/>
      <c r="Q220" s="82"/>
      <c r="R220" s="82"/>
      <c r="S220" s="82"/>
      <c r="T220" s="82"/>
      <c r="U220" s="82"/>
      <c r="V220" s="82"/>
      <c r="W220" s="82"/>
      <c r="X220" s="82"/>
    </row>
    <row r="221" spans="1:24" x14ac:dyDescent="0.3">
      <c r="A221" s="277">
        <v>32</v>
      </c>
      <c r="B221" s="268" t="s">
        <v>7</v>
      </c>
      <c r="C221" s="216" t="s">
        <v>12</v>
      </c>
      <c r="D221" s="105" t="str">
        <f>CONCATENATE("2QSF",P221," ",Q221)</f>
        <v>2QSF33 Положение</v>
      </c>
      <c r="E221" s="92" t="s">
        <v>207</v>
      </c>
      <c r="F221" s="278" t="s">
        <v>28</v>
      </c>
      <c r="G221" s="281" t="s">
        <v>353</v>
      </c>
      <c r="H221" s="282" t="s">
        <v>59</v>
      </c>
      <c r="I221" s="106">
        <v>4112</v>
      </c>
      <c r="J221" s="107" t="str">
        <f>IF(OR(D221="",D221="-"),"",CONCATENATE("SPT",K221,"/",N221,L221,".",M221))</f>
        <v>SPT18DC/P1A4_GGIO2.Ind1</v>
      </c>
      <c r="K221" s="177" t="s">
        <v>791</v>
      </c>
      <c r="L221" s="178" t="s">
        <v>245</v>
      </c>
      <c r="M221" s="104" t="s">
        <v>36</v>
      </c>
      <c r="N221" s="179" t="s">
        <v>631</v>
      </c>
      <c r="O221" s="82"/>
      <c r="P221" s="98">
        <v>33</v>
      </c>
      <c r="Q221" s="82" t="s">
        <v>209</v>
      </c>
      <c r="R221" s="82"/>
      <c r="S221" s="82">
        <f t="shared" ref="S221:S236" si="69">I221-4095</f>
        <v>17</v>
      </c>
      <c r="T221" s="82" t="str">
        <f t="shared" ref="T221:T236" si="70">_xlfn.CONCAT($T$1,S221)</f>
        <v>lb_dd17</v>
      </c>
      <c r="U221" s="82">
        <f t="shared" ref="U221:U236" si="71">S221+1999</f>
        <v>2016</v>
      </c>
      <c r="V221" s="82">
        <v>809</v>
      </c>
      <c r="W221" s="82">
        <v>1058</v>
      </c>
      <c r="X221" s="82"/>
    </row>
    <row r="222" spans="1:24" x14ac:dyDescent="0.3">
      <c r="A222" s="277"/>
      <c r="B222" s="268"/>
      <c r="C222" s="216" t="s">
        <v>8</v>
      </c>
      <c r="D222" s="105" t="str">
        <f t="shared" ref="D222:D236" si="72">CONCATENATE("2QSF",P222," ",Q222)</f>
        <v>2QSF33 Состояние</v>
      </c>
      <c r="E222" s="92" t="s">
        <v>208</v>
      </c>
      <c r="F222" s="279"/>
      <c r="G222" s="281"/>
      <c r="H222" s="283"/>
      <c r="I222" s="106">
        <v>4113</v>
      </c>
      <c r="J222" s="107" t="str">
        <f t="shared" ref="J222:J236" si="73">IF(OR(D222="",D222="-"),"",CONCATENATE("SPT",K222,"/",N222,L222,".",M222))</f>
        <v>SPT18DC/P1A4_GGIO2.Alm1</v>
      </c>
      <c r="K222" s="103" t="str">
        <f>K221</f>
        <v>18DC</v>
      </c>
      <c r="L222" s="104" t="str">
        <f>L221</f>
        <v>GGIO2</v>
      </c>
      <c r="M222" s="108" t="s">
        <v>37</v>
      </c>
      <c r="N222" s="82" t="str">
        <f>N221</f>
        <v>P1A4_</v>
      </c>
      <c r="O222" s="82"/>
      <c r="P222" s="98">
        <v>33</v>
      </c>
      <c r="Q222" s="82" t="s">
        <v>210</v>
      </c>
      <c r="R222" s="82"/>
      <c r="S222" s="82">
        <f t="shared" si="69"/>
        <v>18</v>
      </c>
      <c r="T222" s="82" t="str">
        <f t="shared" si="70"/>
        <v>lb_dd18</v>
      </c>
      <c r="U222" s="82">
        <f t="shared" si="71"/>
        <v>2017</v>
      </c>
      <c r="V222" s="82"/>
      <c r="W222" s="82"/>
      <c r="X222" s="82"/>
    </row>
    <row r="223" spans="1:24" x14ac:dyDescent="0.3">
      <c r="A223" s="277"/>
      <c r="B223" s="268"/>
      <c r="C223" s="216" t="s">
        <v>9</v>
      </c>
      <c r="D223" s="105" t="str">
        <f t="shared" si="72"/>
        <v>2QSF34 Положение</v>
      </c>
      <c r="E223" s="92" t="s">
        <v>207</v>
      </c>
      <c r="F223" s="279"/>
      <c r="G223" s="281"/>
      <c r="H223" s="283"/>
      <c r="I223" s="106">
        <v>4114</v>
      </c>
      <c r="J223" s="107" t="str">
        <f t="shared" si="73"/>
        <v>SPT18DC/P1A4_GGIO2.Ind2</v>
      </c>
      <c r="K223" s="103" t="str">
        <f t="shared" ref="K223:K236" si="74">K222</f>
        <v>18DC</v>
      </c>
      <c r="L223" s="104" t="str">
        <f t="shared" ref="L223:L236" si="75">L222</f>
        <v>GGIO2</v>
      </c>
      <c r="M223" s="104" t="s">
        <v>38</v>
      </c>
      <c r="N223" s="82" t="str">
        <f t="shared" ref="N223:N236" si="76">N222</f>
        <v>P1A4_</v>
      </c>
      <c r="O223" s="82"/>
      <c r="P223" s="98">
        <v>34</v>
      </c>
      <c r="Q223" s="82" t="s">
        <v>209</v>
      </c>
      <c r="R223" s="82"/>
      <c r="S223" s="82">
        <f t="shared" si="69"/>
        <v>19</v>
      </c>
      <c r="T223" s="82" t="str">
        <f t="shared" si="70"/>
        <v>lb_dd19</v>
      </c>
      <c r="U223" s="82">
        <f t="shared" si="71"/>
        <v>2018</v>
      </c>
      <c r="V223" s="82"/>
      <c r="W223" s="82"/>
      <c r="X223" s="82"/>
    </row>
    <row r="224" spans="1:24" x14ac:dyDescent="0.3">
      <c r="A224" s="277"/>
      <c r="B224" s="268"/>
      <c r="C224" s="216" t="s">
        <v>13</v>
      </c>
      <c r="D224" s="105" t="str">
        <f t="shared" si="72"/>
        <v>2QSF34 Состояние</v>
      </c>
      <c r="E224" s="92" t="s">
        <v>208</v>
      </c>
      <c r="F224" s="279"/>
      <c r="G224" s="281"/>
      <c r="H224" s="283"/>
      <c r="I224" s="106">
        <v>4115</v>
      </c>
      <c r="J224" s="107" t="str">
        <f t="shared" si="73"/>
        <v>SPT18DC/P1A4_GGIO2.Alm2</v>
      </c>
      <c r="K224" s="103" t="str">
        <f t="shared" si="74"/>
        <v>18DC</v>
      </c>
      <c r="L224" s="104" t="str">
        <f t="shared" si="75"/>
        <v>GGIO2</v>
      </c>
      <c r="M224" s="108" t="s">
        <v>39</v>
      </c>
      <c r="N224" s="82" t="str">
        <f t="shared" si="76"/>
        <v>P1A4_</v>
      </c>
      <c r="O224" s="82"/>
      <c r="P224" s="98">
        <v>34</v>
      </c>
      <c r="Q224" s="82" t="s">
        <v>210</v>
      </c>
      <c r="R224" s="82"/>
      <c r="S224" s="82">
        <f t="shared" si="69"/>
        <v>20</v>
      </c>
      <c r="T224" s="82" t="str">
        <f t="shared" si="70"/>
        <v>lb_dd20</v>
      </c>
      <c r="U224" s="82">
        <f t="shared" si="71"/>
        <v>2019</v>
      </c>
      <c r="V224" s="82"/>
      <c r="W224" s="82"/>
      <c r="X224" s="82"/>
    </row>
    <row r="225" spans="1:24" x14ac:dyDescent="0.3">
      <c r="A225" s="277"/>
      <c r="B225" s="268"/>
      <c r="C225" s="216" t="s">
        <v>14</v>
      </c>
      <c r="D225" s="105" t="str">
        <f t="shared" si="72"/>
        <v>2QSF35 Положение</v>
      </c>
      <c r="E225" s="92" t="s">
        <v>207</v>
      </c>
      <c r="F225" s="279"/>
      <c r="G225" s="281"/>
      <c r="H225" s="283"/>
      <c r="I225" s="106">
        <v>4116</v>
      </c>
      <c r="J225" s="107" t="str">
        <f t="shared" si="73"/>
        <v>SPT18DC/P1A4_GGIO2.Ind3</v>
      </c>
      <c r="K225" s="103" t="str">
        <f t="shared" si="74"/>
        <v>18DC</v>
      </c>
      <c r="L225" s="104" t="str">
        <f t="shared" si="75"/>
        <v>GGIO2</v>
      </c>
      <c r="M225" s="104" t="s">
        <v>40</v>
      </c>
      <c r="N225" s="82" t="str">
        <f t="shared" si="76"/>
        <v>P1A4_</v>
      </c>
      <c r="O225" s="82"/>
      <c r="P225" s="98">
        <v>35</v>
      </c>
      <c r="Q225" s="82" t="s">
        <v>209</v>
      </c>
      <c r="R225" s="82"/>
      <c r="S225" s="82">
        <f t="shared" si="69"/>
        <v>21</v>
      </c>
      <c r="T225" s="82" t="str">
        <f t="shared" si="70"/>
        <v>lb_dd21</v>
      </c>
      <c r="U225" s="82">
        <f t="shared" si="71"/>
        <v>2020</v>
      </c>
      <c r="V225" s="82"/>
      <c r="W225" s="82"/>
      <c r="X225" s="82"/>
    </row>
    <row r="226" spans="1:24" x14ac:dyDescent="0.3">
      <c r="A226" s="277"/>
      <c r="B226" s="268"/>
      <c r="C226" s="216" t="s">
        <v>15</v>
      </c>
      <c r="D226" s="105" t="str">
        <f t="shared" si="72"/>
        <v>2QSF35 Состояние</v>
      </c>
      <c r="E226" s="92" t="s">
        <v>208</v>
      </c>
      <c r="F226" s="279"/>
      <c r="G226" s="281"/>
      <c r="H226" s="283"/>
      <c r="I226" s="106">
        <v>4117</v>
      </c>
      <c r="J226" s="107" t="str">
        <f t="shared" si="73"/>
        <v>SPT18DC/P1A4_GGIO2.Alm3</v>
      </c>
      <c r="K226" s="103" t="str">
        <f t="shared" si="74"/>
        <v>18DC</v>
      </c>
      <c r="L226" s="104" t="str">
        <f t="shared" si="75"/>
        <v>GGIO2</v>
      </c>
      <c r="M226" s="108" t="s">
        <v>41</v>
      </c>
      <c r="N226" s="82" t="str">
        <f t="shared" si="76"/>
        <v>P1A4_</v>
      </c>
      <c r="O226" s="82"/>
      <c r="P226" s="98">
        <v>35</v>
      </c>
      <c r="Q226" s="82" t="s">
        <v>210</v>
      </c>
      <c r="R226" s="82"/>
      <c r="S226" s="82">
        <f t="shared" si="69"/>
        <v>22</v>
      </c>
      <c r="T226" s="82" t="str">
        <f t="shared" si="70"/>
        <v>lb_dd22</v>
      </c>
      <c r="U226" s="82">
        <f t="shared" si="71"/>
        <v>2021</v>
      </c>
      <c r="V226" s="82"/>
      <c r="W226" s="82"/>
      <c r="X226" s="82"/>
    </row>
    <row r="227" spans="1:24" x14ac:dyDescent="0.3">
      <c r="A227" s="277"/>
      <c r="B227" s="268"/>
      <c r="C227" s="216" t="s">
        <v>16</v>
      </c>
      <c r="D227" s="105" t="str">
        <f t="shared" si="72"/>
        <v>2QSF36 Положение</v>
      </c>
      <c r="E227" s="92" t="s">
        <v>207</v>
      </c>
      <c r="F227" s="279"/>
      <c r="G227" s="281"/>
      <c r="H227" s="283"/>
      <c r="I227" s="106">
        <v>4118</v>
      </c>
      <c r="J227" s="107" t="str">
        <f t="shared" si="73"/>
        <v>SPT18DC/P1A4_GGIO2.Ind4</v>
      </c>
      <c r="K227" s="103" t="str">
        <f t="shared" si="74"/>
        <v>18DC</v>
      </c>
      <c r="L227" s="104" t="str">
        <f t="shared" si="75"/>
        <v>GGIO2</v>
      </c>
      <c r="M227" s="104" t="s">
        <v>42</v>
      </c>
      <c r="N227" s="82" t="str">
        <f t="shared" si="76"/>
        <v>P1A4_</v>
      </c>
      <c r="O227" s="82"/>
      <c r="P227" s="98">
        <v>36</v>
      </c>
      <c r="Q227" s="82" t="s">
        <v>209</v>
      </c>
      <c r="R227" s="82"/>
      <c r="S227" s="82">
        <f t="shared" si="69"/>
        <v>23</v>
      </c>
      <c r="T227" s="82" t="str">
        <f t="shared" si="70"/>
        <v>lb_dd23</v>
      </c>
      <c r="U227" s="82">
        <f t="shared" si="71"/>
        <v>2022</v>
      </c>
      <c r="V227" s="82"/>
      <c r="W227" s="82"/>
      <c r="X227" s="82"/>
    </row>
    <row r="228" spans="1:24" x14ac:dyDescent="0.3">
      <c r="A228" s="277"/>
      <c r="B228" s="268"/>
      <c r="C228" s="216" t="s">
        <v>17</v>
      </c>
      <c r="D228" s="105" t="str">
        <f t="shared" si="72"/>
        <v>2QSF36 Состояние</v>
      </c>
      <c r="E228" s="92" t="s">
        <v>208</v>
      </c>
      <c r="F228" s="279"/>
      <c r="G228" s="281"/>
      <c r="H228" s="283"/>
      <c r="I228" s="106">
        <v>4119</v>
      </c>
      <c r="J228" s="107" t="str">
        <f t="shared" si="73"/>
        <v>SPT18DC/P1A4_GGIO2.Alm4</v>
      </c>
      <c r="K228" s="103" t="str">
        <f t="shared" si="74"/>
        <v>18DC</v>
      </c>
      <c r="L228" s="104" t="str">
        <f t="shared" si="75"/>
        <v>GGIO2</v>
      </c>
      <c r="M228" s="108" t="s">
        <v>43</v>
      </c>
      <c r="N228" s="82" t="str">
        <f t="shared" si="76"/>
        <v>P1A4_</v>
      </c>
      <c r="O228" s="82"/>
      <c r="P228" s="98">
        <v>36</v>
      </c>
      <c r="Q228" s="82" t="s">
        <v>210</v>
      </c>
      <c r="R228" s="82"/>
      <c r="S228" s="82">
        <f t="shared" si="69"/>
        <v>24</v>
      </c>
      <c r="T228" s="82" t="str">
        <f t="shared" si="70"/>
        <v>lb_dd24</v>
      </c>
      <c r="U228" s="82">
        <f t="shared" si="71"/>
        <v>2023</v>
      </c>
      <c r="V228" s="82"/>
      <c r="W228" s="82"/>
      <c r="X228" s="82"/>
    </row>
    <row r="229" spans="1:24" x14ac:dyDescent="0.3">
      <c r="A229" s="277"/>
      <c r="B229" s="268"/>
      <c r="C229" s="216" t="s">
        <v>18</v>
      </c>
      <c r="D229" s="105" t="str">
        <f t="shared" si="72"/>
        <v>2QSF37 Положение</v>
      </c>
      <c r="E229" s="92" t="s">
        <v>207</v>
      </c>
      <c r="F229" s="279"/>
      <c r="G229" s="281"/>
      <c r="H229" s="283"/>
      <c r="I229" s="106">
        <v>4120</v>
      </c>
      <c r="J229" s="107" t="str">
        <f t="shared" si="73"/>
        <v>SPT18DC/P1A4_GGIO2.Ind5</v>
      </c>
      <c r="K229" s="103" t="str">
        <f t="shared" si="74"/>
        <v>18DC</v>
      </c>
      <c r="L229" s="104" t="str">
        <f t="shared" si="75"/>
        <v>GGIO2</v>
      </c>
      <c r="M229" s="104" t="s">
        <v>44</v>
      </c>
      <c r="N229" s="82" t="str">
        <f t="shared" si="76"/>
        <v>P1A4_</v>
      </c>
      <c r="O229" s="82"/>
      <c r="P229" s="109" t="s">
        <v>775</v>
      </c>
      <c r="Q229" s="82" t="s">
        <v>209</v>
      </c>
      <c r="R229" s="82"/>
      <c r="S229" s="82">
        <f t="shared" si="69"/>
        <v>25</v>
      </c>
      <c r="T229" s="82" t="str">
        <f t="shared" si="70"/>
        <v>lb_dd25</v>
      </c>
      <c r="U229" s="82">
        <f t="shared" si="71"/>
        <v>2024</v>
      </c>
      <c r="V229" s="82"/>
      <c r="W229" s="82"/>
      <c r="X229" s="82"/>
    </row>
    <row r="230" spans="1:24" x14ac:dyDescent="0.3">
      <c r="A230" s="277"/>
      <c r="B230" s="268"/>
      <c r="C230" s="216" t="s">
        <v>19</v>
      </c>
      <c r="D230" s="105" t="str">
        <f t="shared" si="72"/>
        <v>2QSF37 Состояние</v>
      </c>
      <c r="E230" s="92" t="s">
        <v>208</v>
      </c>
      <c r="F230" s="279"/>
      <c r="G230" s="281"/>
      <c r="H230" s="283"/>
      <c r="I230" s="106">
        <v>4121</v>
      </c>
      <c r="J230" s="107" t="str">
        <f t="shared" si="73"/>
        <v>SPT18DC/P1A4_GGIO2.Alm5</v>
      </c>
      <c r="K230" s="103" t="str">
        <f t="shared" si="74"/>
        <v>18DC</v>
      </c>
      <c r="L230" s="104" t="str">
        <f t="shared" si="75"/>
        <v>GGIO2</v>
      </c>
      <c r="M230" s="108" t="s">
        <v>45</v>
      </c>
      <c r="N230" s="82" t="str">
        <f t="shared" si="76"/>
        <v>P1A4_</v>
      </c>
      <c r="O230" s="82"/>
      <c r="P230" s="109" t="s">
        <v>775</v>
      </c>
      <c r="Q230" s="82" t="s">
        <v>210</v>
      </c>
      <c r="R230" s="82"/>
      <c r="S230" s="82">
        <f t="shared" si="69"/>
        <v>26</v>
      </c>
      <c r="T230" s="82" t="str">
        <f t="shared" si="70"/>
        <v>lb_dd26</v>
      </c>
      <c r="U230" s="82">
        <f t="shared" si="71"/>
        <v>2025</v>
      </c>
      <c r="V230" s="82"/>
      <c r="W230" s="82"/>
      <c r="X230" s="82"/>
    </row>
    <row r="231" spans="1:24" x14ac:dyDescent="0.3">
      <c r="A231" s="277"/>
      <c r="B231" s="268"/>
      <c r="C231" s="216" t="s">
        <v>20</v>
      </c>
      <c r="D231" s="105" t="str">
        <f t="shared" si="72"/>
        <v>2QSF38 Положение</v>
      </c>
      <c r="E231" s="92" t="s">
        <v>207</v>
      </c>
      <c r="F231" s="279"/>
      <c r="G231" s="281"/>
      <c r="H231" s="283"/>
      <c r="I231" s="106">
        <v>4122</v>
      </c>
      <c r="J231" s="107" t="str">
        <f t="shared" si="73"/>
        <v>SPT18DC/P1A4_GGIO2.Ind6</v>
      </c>
      <c r="K231" s="103" t="str">
        <f t="shared" si="74"/>
        <v>18DC</v>
      </c>
      <c r="L231" s="104" t="str">
        <f t="shared" si="75"/>
        <v>GGIO2</v>
      </c>
      <c r="M231" s="104" t="s">
        <v>46</v>
      </c>
      <c r="N231" s="82" t="str">
        <f t="shared" si="76"/>
        <v>P1A4_</v>
      </c>
      <c r="O231" s="82"/>
      <c r="P231" s="109" t="s">
        <v>776</v>
      </c>
      <c r="Q231" s="82" t="s">
        <v>209</v>
      </c>
      <c r="R231" s="82"/>
      <c r="S231" s="82">
        <f t="shared" si="69"/>
        <v>27</v>
      </c>
      <c r="T231" s="82" t="str">
        <f t="shared" si="70"/>
        <v>lb_dd27</v>
      </c>
      <c r="U231" s="82">
        <f t="shared" si="71"/>
        <v>2026</v>
      </c>
      <c r="V231" s="82"/>
      <c r="W231" s="82"/>
      <c r="X231" s="82"/>
    </row>
    <row r="232" spans="1:24" x14ac:dyDescent="0.3">
      <c r="A232" s="277"/>
      <c r="B232" s="268"/>
      <c r="C232" s="216" t="s">
        <v>21</v>
      </c>
      <c r="D232" s="105" t="str">
        <f t="shared" si="72"/>
        <v>2QSF38 Состояние</v>
      </c>
      <c r="E232" s="92" t="s">
        <v>208</v>
      </c>
      <c r="F232" s="279"/>
      <c r="G232" s="281"/>
      <c r="H232" s="283"/>
      <c r="I232" s="106">
        <v>4123</v>
      </c>
      <c r="J232" s="107" t="str">
        <f t="shared" si="73"/>
        <v>SPT18DC/P1A4_GGIO2.Alm6</v>
      </c>
      <c r="K232" s="103" t="str">
        <f t="shared" si="74"/>
        <v>18DC</v>
      </c>
      <c r="L232" s="104" t="str">
        <f t="shared" si="75"/>
        <v>GGIO2</v>
      </c>
      <c r="M232" s="108" t="s">
        <v>47</v>
      </c>
      <c r="N232" s="82" t="str">
        <f t="shared" si="76"/>
        <v>P1A4_</v>
      </c>
      <c r="O232" s="82"/>
      <c r="P232" s="109" t="s">
        <v>776</v>
      </c>
      <c r="Q232" s="82" t="s">
        <v>210</v>
      </c>
      <c r="R232" s="82"/>
      <c r="S232" s="82">
        <f t="shared" si="69"/>
        <v>28</v>
      </c>
      <c r="T232" s="82" t="str">
        <f t="shared" si="70"/>
        <v>lb_dd28</v>
      </c>
      <c r="U232" s="82">
        <f t="shared" si="71"/>
        <v>2027</v>
      </c>
      <c r="V232" s="82"/>
      <c r="W232" s="82"/>
      <c r="X232" s="82"/>
    </row>
    <row r="233" spans="1:24" x14ac:dyDescent="0.3">
      <c r="A233" s="277"/>
      <c r="B233" s="268"/>
      <c r="C233" s="216" t="s">
        <v>22</v>
      </c>
      <c r="D233" s="105" t="str">
        <f t="shared" si="72"/>
        <v>2QSF39 Положение</v>
      </c>
      <c r="E233" s="92" t="s">
        <v>207</v>
      </c>
      <c r="F233" s="279"/>
      <c r="G233" s="281"/>
      <c r="H233" s="283"/>
      <c r="I233" s="106">
        <v>4124</v>
      </c>
      <c r="J233" s="107" t="str">
        <f t="shared" si="73"/>
        <v>SPT18DC/P1A4_GGIO2.Ind7</v>
      </c>
      <c r="K233" s="103" t="str">
        <f t="shared" si="74"/>
        <v>18DC</v>
      </c>
      <c r="L233" s="104" t="str">
        <f t="shared" si="75"/>
        <v>GGIO2</v>
      </c>
      <c r="M233" s="104" t="s">
        <v>48</v>
      </c>
      <c r="N233" s="82" t="str">
        <f t="shared" si="76"/>
        <v>P1A4_</v>
      </c>
      <c r="O233" s="82"/>
      <c r="P233" s="109" t="s">
        <v>777</v>
      </c>
      <c r="Q233" s="82" t="s">
        <v>209</v>
      </c>
      <c r="R233" s="82"/>
      <c r="S233" s="82">
        <f t="shared" si="69"/>
        <v>29</v>
      </c>
      <c r="T233" s="82" t="str">
        <f t="shared" si="70"/>
        <v>lb_dd29</v>
      </c>
      <c r="U233" s="82">
        <f t="shared" si="71"/>
        <v>2028</v>
      </c>
      <c r="V233" s="82"/>
      <c r="W233" s="82"/>
      <c r="X233" s="82"/>
    </row>
    <row r="234" spans="1:24" x14ac:dyDescent="0.3">
      <c r="A234" s="277"/>
      <c r="B234" s="268"/>
      <c r="C234" s="216" t="s">
        <v>23</v>
      </c>
      <c r="D234" s="105" t="str">
        <f t="shared" si="72"/>
        <v>2QSF39 Состояние</v>
      </c>
      <c r="E234" s="92" t="s">
        <v>208</v>
      </c>
      <c r="F234" s="279"/>
      <c r="G234" s="281"/>
      <c r="H234" s="283"/>
      <c r="I234" s="106">
        <v>4125</v>
      </c>
      <c r="J234" s="107" t="str">
        <f t="shared" si="73"/>
        <v>SPT18DC/P1A4_GGIO2.Alm7</v>
      </c>
      <c r="K234" s="103" t="str">
        <f t="shared" si="74"/>
        <v>18DC</v>
      </c>
      <c r="L234" s="104" t="str">
        <f t="shared" si="75"/>
        <v>GGIO2</v>
      </c>
      <c r="M234" s="108" t="s">
        <v>49</v>
      </c>
      <c r="N234" s="82" t="str">
        <f t="shared" si="76"/>
        <v>P1A4_</v>
      </c>
      <c r="O234" s="82"/>
      <c r="P234" s="109" t="s">
        <v>777</v>
      </c>
      <c r="Q234" s="82" t="s">
        <v>210</v>
      </c>
      <c r="R234" s="82"/>
      <c r="S234" s="82">
        <f t="shared" si="69"/>
        <v>30</v>
      </c>
      <c r="T234" s="82" t="str">
        <f t="shared" si="70"/>
        <v>lb_dd30</v>
      </c>
      <c r="U234" s="82">
        <f t="shared" si="71"/>
        <v>2029</v>
      </c>
      <c r="V234" s="82"/>
      <c r="W234" s="82"/>
      <c r="X234" s="82"/>
    </row>
    <row r="235" spans="1:24" x14ac:dyDescent="0.3">
      <c r="A235" s="277"/>
      <c r="B235" s="268"/>
      <c r="C235" s="216" t="s">
        <v>24</v>
      </c>
      <c r="D235" s="105" t="str">
        <f t="shared" si="72"/>
        <v>2QSF40 Положение</v>
      </c>
      <c r="E235" s="92" t="s">
        <v>207</v>
      </c>
      <c r="F235" s="279"/>
      <c r="G235" s="281"/>
      <c r="H235" s="283"/>
      <c r="I235" s="106">
        <v>4126</v>
      </c>
      <c r="J235" s="107" t="str">
        <f t="shared" si="73"/>
        <v>SPT18DC/P1A4_GGIO2.Ind8</v>
      </c>
      <c r="K235" s="103" t="str">
        <f t="shared" si="74"/>
        <v>18DC</v>
      </c>
      <c r="L235" s="104" t="str">
        <f t="shared" si="75"/>
        <v>GGIO2</v>
      </c>
      <c r="M235" s="104" t="s">
        <v>55</v>
      </c>
      <c r="N235" s="82" t="str">
        <f t="shared" si="76"/>
        <v>P1A4_</v>
      </c>
      <c r="O235" s="82"/>
      <c r="P235" s="109" t="s">
        <v>778</v>
      </c>
      <c r="Q235" s="82" t="s">
        <v>209</v>
      </c>
      <c r="R235" s="82"/>
      <c r="S235" s="82">
        <f t="shared" si="69"/>
        <v>31</v>
      </c>
      <c r="T235" s="82" t="str">
        <f t="shared" si="70"/>
        <v>lb_dd31</v>
      </c>
      <c r="U235" s="82">
        <f t="shared" si="71"/>
        <v>2030</v>
      </c>
      <c r="V235" s="82"/>
      <c r="W235" s="82"/>
      <c r="X235" s="82"/>
    </row>
    <row r="236" spans="1:24" x14ac:dyDescent="0.3">
      <c r="A236" s="277"/>
      <c r="B236" s="268"/>
      <c r="C236" s="216" t="s">
        <v>25</v>
      </c>
      <c r="D236" s="105" t="str">
        <f t="shared" si="72"/>
        <v>2QSF40 Состояние</v>
      </c>
      <c r="E236" s="92" t="s">
        <v>208</v>
      </c>
      <c r="F236" s="280"/>
      <c r="G236" s="281"/>
      <c r="H236" s="284"/>
      <c r="I236" s="106">
        <v>4127</v>
      </c>
      <c r="J236" s="107" t="str">
        <f t="shared" si="73"/>
        <v>SPT18DC/P1A4_GGIO2.Alm8</v>
      </c>
      <c r="K236" s="103" t="str">
        <f t="shared" si="74"/>
        <v>18DC</v>
      </c>
      <c r="L236" s="104" t="str">
        <f t="shared" si="75"/>
        <v>GGIO2</v>
      </c>
      <c r="M236" s="108" t="s">
        <v>56</v>
      </c>
      <c r="N236" s="82" t="str">
        <f t="shared" si="76"/>
        <v>P1A4_</v>
      </c>
      <c r="O236" s="82"/>
      <c r="P236" s="109" t="s">
        <v>778</v>
      </c>
      <c r="Q236" s="82" t="s">
        <v>210</v>
      </c>
      <c r="R236" s="82"/>
      <c r="S236" s="82">
        <f t="shared" si="69"/>
        <v>32</v>
      </c>
      <c r="T236" s="82" t="str">
        <f t="shared" si="70"/>
        <v>lb_dd32</v>
      </c>
      <c r="U236" s="82">
        <f t="shared" si="71"/>
        <v>2031</v>
      </c>
      <c r="V236" s="82"/>
      <c r="W236" s="82"/>
      <c r="X236" s="82"/>
    </row>
    <row r="237" spans="1:24" x14ac:dyDescent="0.3">
      <c r="A237" s="252"/>
      <c r="B237" s="253"/>
      <c r="C237" s="253"/>
      <c r="D237" s="253"/>
      <c r="E237" s="253"/>
      <c r="F237" s="253"/>
      <c r="G237" s="253"/>
      <c r="H237" s="253"/>
      <c r="I237" s="253"/>
      <c r="J237" s="254"/>
      <c r="K237" s="103"/>
      <c r="L237" s="104"/>
      <c r="M237" s="163"/>
      <c r="N237" s="82"/>
      <c r="O237" s="82"/>
      <c r="P237" s="98"/>
      <c r="Q237" s="82"/>
      <c r="R237" s="82"/>
      <c r="S237" s="82"/>
      <c r="T237" s="82"/>
      <c r="U237" s="82"/>
      <c r="V237" s="82"/>
      <c r="W237" s="82"/>
      <c r="X237" s="82"/>
    </row>
    <row r="238" spans="1:24" x14ac:dyDescent="0.3">
      <c r="A238" s="273" t="s">
        <v>678</v>
      </c>
      <c r="B238" s="273"/>
      <c r="C238" s="273"/>
      <c r="D238" s="273"/>
      <c r="E238" s="273"/>
      <c r="F238" s="273"/>
      <c r="G238" s="273"/>
      <c r="H238" s="273"/>
      <c r="I238" s="273"/>
      <c r="J238" s="273"/>
      <c r="K238" s="103"/>
      <c r="L238" s="104"/>
      <c r="M238" s="82"/>
      <c r="N238" s="82"/>
      <c r="O238" s="82"/>
      <c r="P238" s="98"/>
      <c r="Q238" s="82"/>
      <c r="R238" s="82"/>
      <c r="S238" s="82"/>
      <c r="T238" s="82"/>
      <c r="U238" s="82"/>
      <c r="V238" s="82"/>
      <c r="W238" s="82"/>
      <c r="X238" s="82"/>
    </row>
    <row r="239" spans="1:24" x14ac:dyDescent="0.3">
      <c r="A239" s="277">
        <v>33</v>
      </c>
      <c r="B239" s="268" t="s">
        <v>7</v>
      </c>
      <c r="C239" s="216" t="s">
        <v>12</v>
      </c>
      <c r="D239" s="105" t="str">
        <f>CONCATENATE("2QSF",P239," ",Q239)</f>
        <v>2QSF41 Положение</v>
      </c>
      <c r="E239" s="92" t="s">
        <v>207</v>
      </c>
      <c r="F239" s="278" t="s">
        <v>28</v>
      </c>
      <c r="G239" s="281" t="s">
        <v>353</v>
      </c>
      <c r="H239" s="282" t="s">
        <v>59</v>
      </c>
      <c r="I239" s="106">
        <v>4112</v>
      </c>
      <c r="J239" s="107" t="str">
        <f>IF(OR(D239="",D239="-"),"",CONCATENATE("SPT",K239,"/",N239,L239,".",M239))</f>
        <v>SPT18DC/P1A4_GGIO2.Ind1</v>
      </c>
      <c r="K239" s="177" t="s">
        <v>791</v>
      </c>
      <c r="L239" s="178" t="s">
        <v>245</v>
      </c>
      <c r="M239" s="104" t="s">
        <v>36</v>
      </c>
      <c r="N239" s="179" t="s">
        <v>631</v>
      </c>
      <c r="O239" s="82"/>
      <c r="P239" s="98">
        <v>41</v>
      </c>
      <c r="Q239" s="82" t="s">
        <v>209</v>
      </c>
      <c r="R239" s="82"/>
      <c r="S239" s="82">
        <f t="shared" ref="S239:S254" si="77">I239-4095</f>
        <v>17</v>
      </c>
      <c r="T239" s="82" t="str">
        <f t="shared" ref="T239:T254" si="78">_xlfn.CONCAT($T$1,S239)</f>
        <v>lb_dd17</v>
      </c>
      <c r="U239" s="82">
        <f t="shared" ref="U239:U254" si="79">S239+1999</f>
        <v>2016</v>
      </c>
      <c r="V239" s="82">
        <v>809</v>
      </c>
      <c r="W239" s="82">
        <v>1058</v>
      </c>
      <c r="X239" s="82"/>
    </row>
    <row r="240" spans="1:24" x14ac:dyDescent="0.3">
      <c r="A240" s="277"/>
      <c r="B240" s="268"/>
      <c r="C240" s="216" t="s">
        <v>8</v>
      </c>
      <c r="D240" s="105" t="str">
        <f t="shared" ref="D240:D254" si="80">CONCATENATE("2QSF",P240," ",Q240)</f>
        <v>2QSF41 Состояние</v>
      </c>
      <c r="E240" s="92" t="s">
        <v>208</v>
      </c>
      <c r="F240" s="279"/>
      <c r="G240" s="281"/>
      <c r="H240" s="283"/>
      <c r="I240" s="106">
        <v>4113</v>
      </c>
      <c r="J240" s="107" t="str">
        <f t="shared" ref="J240:J254" si="81">IF(OR(D240="",D240="-"),"",CONCATENATE("SPT",K240,"/",N240,L240,".",M240))</f>
        <v>SPT18DC/P1A4_GGIO2.Alm1</v>
      </c>
      <c r="K240" s="103" t="str">
        <f>K239</f>
        <v>18DC</v>
      </c>
      <c r="L240" s="104" t="str">
        <f>L239</f>
        <v>GGIO2</v>
      </c>
      <c r="M240" s="108" t="s">
        <v>37</v>
      </c>
      <c r="N240" s="82" t="str">
        <f>N239</f>
        <v>P1A4_</v>
      </c>
      <c r="O240" s="82"/>
      <c r="P240" s="98">
        <v>41</v>
      </c>
      <c r="Q240" s="82" t="s">
        <v>210</v>
      </c>
      <c r="R240" s="82"/>
      <c r="S240" s="82">
        <f t="shared" si="77"/>
        <v>18</v>
      </c>
      <c r="T240" s="82" t="str">
        <f t="shared" si="78"/>
        <v>lb_dd18</v>
      </c>
      <c r="U240" s="82">
        <f t="shared" si="79"/>
        <v>2017</v>
      </c>
      <c r="V240" s="82"/>
      <c r="W240" s="82"/>
      <c r="X240" s="82"/>
    </row>
    <row r="241" spans="1:24" x14ac:dyDescent="0.3">
      <c r="A241" s="277"/>
      <c r="B241" s="268"/>
      <c r="C241" s="216" t="s">
        <v>9</v>
      </c>
      <c r="D241" s="105" t="str">
        <f t="shared" si="80"/>
        <v>2QSF42 Положение</v>
      </c>
      <c r="E241" s="92" t="s">
        <v>207</v>
      </c>
      <c r="F241" s="279"/>
      <c r="G241" s="281"/>
      <c r="H241" s="283"/>
      <c r="I241" s="106">
        <v>4114</v>
      </c>
      <c r="J241" s="107" t="str">
        <f t="shared" si="81"/>
        <v>SPT18DC/P1A4_GGIO2.Ind2</v>
      </c>
      <c r="K241" s="103" t="str">
        <f t="shared" ref="K241:K254" si="82">K240</f>
        <v>18DC</v>
      </c>
      <c r="L241" s="104" t="str">
        <f t="shared" ref="L241:L254" si="83">L240</f>
        <v>GGIO2</v>
      </c>
      <c r="M241" s="104" t="s">
        <v>38</v>
      </c>
      <c r="N241" s="82" t="str">
        <f t="shared" ref="N241:N254" si="84">N240</f>
        <v>P1A4_</v>
      </c>
      <c r="O241" s="82"/>
      <c r="P241" s="98">
        <v>42</v>
      </c>
      <c r="Q241" s="82" t="s">
        <v>209</v>
      </c>
      <c r="R241" s="82"/>
      <c r="S241" s="82">
        <f t="shared" si="77"/>
        <v>19</v>
      </c>
      <c r="T241" s="82" t="str">
        <f t="shared" si="78"/>
        <v>lb_dd19</v>
      </c>
      <c r="U241" s="82">
        <f t="shared" si="79"/>
        <v>2018</v>
      </c>
      <c r="V241" s="82"/>
      <c r="W241" s="82"/>
      <c r="X241" s="82"/>
    </row>
    <row r="242" spans="1:24" x14ac:dyDescent="0.3">
      <c r="A242" s="277"/>
      <c r="B242" s="268"/>
      <c r="C242" s="216" t="s">
        <v>13</v>
      </c>
      <c r="D242" s="105" t="str">
        <f t="shared" si="80"/>
        <v>2QSF42 Состояние</v>
      </c>
      <c r="E242" s="92" t="s">
        <v>208</v>
      </c>
      <c r="F242" s="279"/>
      <c r="G242" s="281"/>
      <c r="H242" s="283"/>
      <c r="I242" s="106">
        <v>4115</v>
      </c>
      <c r="J242" s="107" t="str">
        <f t="shared" si="81"/>
        <v>SPT18DC/P1A4_GGIO2.Alm2</v>
      </c>
      <c r="K242" s="103" t="str">
        <f t="shared" si="82"/>
        <v>18DC</v>
      </c>
      <c r="L242" s="104" t="str">
        <f t="shared" si="83"/>
        <v>GGIO2</v>
      </c>
      <c r="M242" s="108" t="s">
        <v>39</v>
      </c>
      <c r="N242" s="82" t="str">
        <f t="shared" si="84"/>
        <v>P1A4_</v>
      </c>
      <c r="O242" s="82"/>
      <c r="P242" s="98">
        <v>42</v>
      </c>
      <c r="Q242" s="82" t="s">
        <v>210</v>
      </c>
      <c r="R242" s="82"/>
      <c r="S242" s="82">
        <f t="shared" si="77"/>
        <v>20</v>
      </c>
      <c r="T242" s="82" t="str">
        <f t="shared" si="78"/>
        <v>lb_dd20</v>
      </c>
      <c r="U242" s="82">
        <f t="shared" si="79"/>
        <v>2019</v>
      </c>
      <c r="V242" s="82"/>
      <c r="W242" s="82"/>
      <c r="X242" s="82"/>
    </row>
    <row r="243" spans="1:24" x14ac:dyDescent="0.3">
      <c r="A243" s="277"/>
      <c r="B243" s="268"/>
      <c r="C243" s="216" t="s">
        <v>14</v>
      </c>
      <c r="D243" s="105" t="str">
        <f t="shared" si="80"/>
        <v>2QSF43 Положение</v>
      </c>
      <c r="E243" s="92" t="s">
        <v>207</v>
      </c>
      <c r="F243" s="279"/>
      <c r="G243" s="281"/>
      <c r="H243" s="283"/>
      <c r="I243" s="106">
        <v>4116</v>
      </c>
      <c r="J243" s="107" t="str">
        <f t="shared" si="81"/>
        <v>SPT18DC/P1A4_GGIO2.Ind3</v>
      </c>
      <c r="K243" s="103" t="str">
        <f t="shared" si="82"/>
        <v>18DC</v>
      </c>
      <c r="L243" s="104" t="str">
        <f t="shared" si="83"/>
        <v>GGIO2</v>
      </c>
      <c r="M243" s="104" t="s">
        <v>40</v>
      </c>
      <c r="N243" s="82" t="str">
        <f t="shared" si="84"/>
        <v>P1A4_</v>
      </c>
      <c r="O243" s="82"/>
      <c r="P243" s="98">
        <v>43</v>
      </c>
      <c r="Q243" s="82" t="s">
        <v>209</v>
      </c>
      <c r="R243" s="82"/>
      <c r="S243" s="82">
        <f t="shared" si="77"/>
        <v>21</v>
      </c>
      <c r="T243" s="82" t="str">
        <f t="shared" si="78"/>
        <v>lb_dd21</v>
      </c>
      <c r="U243" s="82">
        <f t="shared" si="79"/>
        <v>2020</v>
      </c>
      <c r="V243" s="82"/>
      <c r="W243" s="82"/>
      <c r="X243" s="82"/>
    </row>
    <row r="244" spans="1:24" x14ac:dyDescent="0.3">
      <c r="A244" s="277"/>
      <c r="B244" s="268"/>
      <c r="C244" s="216" t="s">
        <v>15</v>
      </c>
      <c r="D244" s="105" t="str">
        <f t="shared" si="80"/>
        <v>2QSF43 Состояние</v>
      </c>
      <c r="E244" s="92" t="s">
        <v>208</v>
      </c>
      <c r="F244" s="279"/>
      <c r="G244" s="281"/>
      <c r="H244" s="283"/>
      <c r="I244" s="106">
        <v>4117</v>
      </c>
      <c r="J244" s="107" t="str">
        <f t="shared" si="81"/>
        <v>SPT18DC/P1A4_GGIO2.Alm3</v>
      </c>
      <c r="K244" s="103" t="str">
        <f t="shared" si="82"/>
        <v>18DC</v>
      </c>
      <c r="L244" s="104" t="str">
        <f t="shared" si="83"/>
        <v>GGIO2</v>
      </c>
      <c r="M244" s="108" t="s">
        <v>41</v>
      </c>
      <c r="N244" s="82" t="str">
        <f t="shared" si="84"/>
        <v>P1A4_</v>
      </c>
      <c r="O244" s="82"/>
      <c r="P244" s="98">
        <v>43</v>
      </c>
      <c r="Q244" s="82" t="s">
        <v>210</v>
      </c>
      <c r="R244" s="82"/>
      <c r="S244" s="82">
        <f t="shared" si="77"/>
        <v>22</v>
      </c>
      <c r="T244" s="82" t="str">
        <f t="shared" si="78"/>
        <v>lb_dd22</v>
      </c>
      <c r="U244" s="82">
        <f t="shared" si="79"/>
        <v>2021</v>
      </c>
      <c r="V244" s="82"/>
      <c r="W244" s="82"/>
      <c r="X244" s="82"/>
    </row>
    <row r="245" spans="1:24" x14ac:dyDescent="0.3">
      <c r="A245" s="277"/>
      <c r="B245" s="268"/>
      <c r="C245" s="216" t="s">
        <v>16</v>
      </c>
      <c r="D245" s="105" t="str">
        <f t="shared" si="80"/>
        <v>2QSF44 Положение</v>
      </c>
      <c r="E245" s="92" t="s">
        <v>207</v>
      </c>
      <c r="F245" s="279"/>
      <c r="G245" s="281"/>
      <c r="H245" s="283"/>
      <c r="I245" s="106">
        <v>4118</v>
      </c>
      <c r="J245" s="107" t="str">
        <f t="shared" si="81"/>
        <v>SPT18DC/P1A4_GGIO2.Ind4</v>
      </c>
      <c r="K245" s="103" t="str">
        <f t="shared" si="82"/>
        <v>18DC</v>
      </c>
      <c r="L245" s="104" t="str">
        <f t="shared" si="83"/>
        <v>GGIO2</v>
      </c>
      <c r="M245" s="104" t="s">
        <v>42</v>
      </c>
      <c r="N245" s="82" t="str">
        <f t="shared" si="84"/>
        <v>P1A4_</v>
      </c>
      <c r="O245" s="82"/>
      <c r="P245" s="98">
        <v>44</v>
      </c>
      <c r="Q245" s="82" t="s">
        <v>209</v>
      </c>
      <c r="R245" s="82"/>
      <c r="S245" s="82">
        <f t="shared" si="77"/>
        <v>23</v>
      </c>
      <c r="T245" s="82" t="str">
        <f t="shared" si="78"/>
        <v>lb_dd23</v>
      </c>
      <c r="U245" s="82">
        <f t="shared" si="79"/>
        <v>2022</v>
      </c>
      <c r="V245" s="82"/>
      <c r="W245" s="82"/>
      <c r="X245" s="82"/>
    </row>
    <row r="246" spans="1:24" x14ac:dyDescent="0.3">
      <c r="A246" s="277"/>
      <c r="B246" s="268"/>
      <c r="C246" s="216" t="s">
        <v>17</v>
      </c>
      <c r="D246" s="105" t="str">
        <f t="shared" si="80"/>
        <v>2QSF44 Состояние</v>
      </c>
      <c r="E246" s="92" t="s">
        <v>208</v>
      </c>
      <c r="F246" s="279"/>
      <c r="G246" s="281"/>
      <c r="H246" s="283"/>
      <c r="I246" s="106">
        <v>4119</v>
      </c>
      <c r="J246" s="107" t="str">
        <f t="shared" si="81"/>
        <v>SPT18DC/P1A4_GGIO2.Alm4</v>
      </c>
      <c r="K246" s="103" t="str">
        <f t="shared" si="82"/>
        <v>18DC</v>
      </c>
      <c r="L246" s="104" t="str">
        <f t="shared" si="83"/>
        <v>GGIO2</v>
      </c>
      <c r="M246" s="108" t="s">
        <v>43</v>
      </c>
      <c r="N246" s="82" t="str">
        <f t="shared" si="84"/>
        <v>P1A4_</v>
      </c>
      <c r="O246" s="82"/>
      <c r="P246" s="98">
        <v>44</v>
      </c>
      <c r="Q246" s="82" t="s">
        <v>210</v>
      </c>
      <c r="R246" s="82"/>
      <c r="S246" s="82">
        <f t="shared" si="77"/>
        <v>24</v>
      </c>
      <c r="T246" s="82" t="str">
        <f t="shared" si="78"/>
        <v>lb_dd24</v>
      </c>
      <c r="U246" s="82">
        <f t="shared" si="79"/>
        <v>2023</v>
      </c>
      <c r="V246" s="82"/>
      <c r="W246" s="82"/>
      <c r="X246" s="82"/>
    </row>
    <row r="247" spans="1:24" x14ac:dyDescent="0.3">
      <c r="A247" s="277"/>
      <c r="B247" s="268"/>
      <c r="C247" s="216" t="s">
        <v>18</v>
      </c>
      <c r="D247" s="105" t="str">
        <f t="shared" si="80"/>
        <v>2QSF45 Положение</v>
      </c>
      <c r="E247" s="92" t="s">
        <v>207</v>
      </c>
      <c r="F247" s="279"/>
      <c r="G247" s="281"/>
      <c r="H247" s="283"/>
      <c r="I247" s="106">
        <v>4120</v>
      </c>
      <c r="J247" s="107" t="str">
        <f t="shared" si="81"/>
        <v>SPT18DC/P1A4_GGIO2.Ind5</v>
      </c>
      <c r="K247" s="103" t="str">
        <f t="shared" si="82"/>
        <v>18DC</v>
      </c>
      <c r="L247" s="104" t="str">
        <f t="shared" si="83"/>
        <v>GGIO2</v>
      </c>
      <c r="M247" s="104" t="s">
        <v>44</v>
      </c>
      <c r="N247" s="82" t="str">
        <f t="shared" si="84"/>
        <v>P1A4_</v>
      </c>
      <c r="O247" s="82"/>
      <c r="P247" s="109" t="s">
        <v>779</v>
      </c>
      <c r="Q247" s="82" t="s">
        <v>209</v>
      </c>
      <c r="R247" s="82"/>
      <c r="S247" s="82">
        <f t="shared" si="77"/>
        <v>25</v>
      </c>
      <c r="T247" s="82" t="str">
        <f t="shared" si="78"/>
        <v>lb_dd25</v>
      </c>
      <c r="U247" s="82">
        <f t="shared" si="79"/>
        <v>2024</v>
      </c>
      <c r="V247" s="82"/>
      <c r="W247" s="82"/>
      <c r="X247" s="82"/>
    </row>
    <row r="248" spans="1:24" x14ac:dyDescent="0.3">
      <c r="A248" s="277"/>
      <c r="B248" s="268"/>
      <c r="C248" s="216" t="s">
        <v>19</v>
      </c>
      <c r="D248" s="105" t="str">
        <f t="shared" si="80"/>
        <v>2QSF45 Состояние</v>
      </c>
      <c r="E248" s="92" t="s">
        <v>208</v>
      </c>
      <c r="F248" s="279"/>
      <c r="G248" s="281"/>
      <c r="H248" s="283"/>
      <c r="I248" s="106">
        <v>4121</v>
      </c>
      <c r="J248" s="107" t="str">
        <f t="shared" si="81"/>
        <v>SPT18DC/P1A4_GGIO2.Alm5</v>
      </c>
      <c r="K248" s="103" t="str">
        <f t="shared" si="82"/>
        <v>18DC</v>
      </c>
      <c r="L248" s="104" t="str">
        <f t="shared" si="83"/>
        <v>GGIO2</v>
      </c>
      <c r="M248" s="108" t="s">
        <v>45</v>
      </c>
      <c r="N248" s="82" t="str">
        <f t="shared" si="84"/>
        <v>P1A4_</v>
      </c>
      <c r="O248" s="82"/>
      <c r="P248" s="109" t="s">
        <v>779</v>
      </c>
      <c r="Q248" s="82" t="s">
        <v>210</v>
      </c>
      <c r="R248" s="82"/>
      <c r="S248" s="82">
        <f t="shared" si="77"/>
        <v>26</v>
      </c>
      <c r="T248" s="82" t="str">
        <f t="shared" si="78"/>
        <v>lb_dd26</v>
      </c>
      <c r="U248" s="82">
        <f t="shared" si="79"/>
        <v>2025</v>
      </c>
      <c r="V248" s="82"/>
      <c r="W248" s="82"/>
      <c r="X248" s="82"/>
    </row>
    <row r="249" spans="1:24" x14ac:dyDescent="0.3">
      <c r="A249" s="277"/>
      <c r="B249" s="268"/>
      <c r="C249" s="216" t="s">
        <v>20</v>
      </c>
      <c r="D249" s="105" t="str">
        <f t="shared" si="80"/>
        <v>2QSF46 Положение</v>
      </c>
      <c r="E249" s="92" t="s">
        <v>207</v>
      </c>
      <c r="F249" s="279"/>
      <c r="G249" s="281"/>
      <c r="H249" s="283"/>
      <c r="I249" s="106">
        <v>4122</v>
      </c>
      <c r="J249" s="107" t="str">
        <f t="shared" si="81"/>
        <v>SPT18DC/P1A4_GGIO2.Ind6</v>
      </c>
      <c r="K249" s="103" t="str">
        <f t="shared" si="82"/>
        <v>18DC</v>
      </c>
      <c r="L249" s="104" t="str">
        <f t="shared" si="83"/>
        <v>GGIO2</v>
      </c>
      <c r="M249" s="104" t="s">
        <v>46</v>
      </c>
      <c r="N249" s="82" t="str">
        <f t="shared" si="84"/>
        <v>P1A4_</v>
      </c>
      <c r="O249" s="82"/>
      <c r="P249" s="109" t="s">
        <v>780</v>
      </c>
      <c r="Q249" s="82" t="s">
        <v>209</v>
      </c>
      <c r="R249" s="82"/>
      <c r="S249" s="82">
        <f t="shared" si="77"/>
        <v>27</v>
      </c>
      <c r="T249" s="82" t="str">
        <f t="shared" si="78"/>
        <v>lb_dd27</v>
      </c>
      <c r="U249" s="82">
        <f t="shared" si="79"/>
        <v>2026</v>
      </c>
      <c r="V249" s="82"/>
      <c r="W249" s="82"/>
      <c r="X249" s="82"/>
    </row>
    <row r="250" spans="1:24" x14ac:dyDescent="0.3">
      <c r="A250" s="277"/>
      <c r="B250" s="268"/>
      <c r="C250" s="216" t="s">
        <v>21</v>
      </c>
      <c r="D250" s="105" t="str">
        <f t="shared" si="80"/>
        <v>2QSF46 Состояние</v>
      </c>
      <c r="E250" s="92" t="s">
        <v>208</v>
      </c>
      <c r="F250" s="279"/>
      <c r="G250" s="281"/>
      <c r="H250" s="283"/>
      <c r="I250" s="106">
        <v>4123</v>
      </c>
      <c r="J250" s="107" t="str">
        <f t="shared" si="81"/>
        <v>SPT18DC/P1A4_GGIO2.Alm6</v>
      </c>
      <c r="K250" s="103" t="str">
        <f t="shared" si="82"/>
        <v>18DC</v>
      </c>
      <c r="L250" s="104" t="str">
        <f t="shared" si="83"/>
        <v>GGIO2</v>
      </c>
      <c r="M250" s="108" t="s">
        <v>47</v>
      </c>
      <c r="N250" s="82" t="str">
        <f t="shared" si="84"/>
        <v>P1A4_</v>
      </c>
      <c r="O250" s="82"/>
      <c r="P250" s="109" t="s">
        <v>780</v>
      </c>
      <c r="Q250" s="82" t="s">
        <v>210</v>
      </c>
      <c r="R250" s="82"/>
      <c r="S250" s="82">
        <f t="shared" si="77"/>
        <v>28</v>
      </c>
      <c r="T250" s="82" t="str">
        <f t="shared" si="78"/>
        <v>lb_dd28</v>
      </c>
      <c r="U250" s="82">
        <f t="shared" si="79"/>
        <v>2027</v>
      </c>
      <c r="V250" s="82"/>
      <c r="W250" s="82"/>
      <c r="X250" s="82"/>
    </row>
    <row r="251" spans="1:24" x14ac:dyDescent="0.3">
      <c r="A251" s="277"/>
      <c r="B251" s="268"/>
      <c r="C251" s="216" t="s">
        <v>22</v>
      </c>
      <c r="D251" s="105" t="str">
        <f t="shared" si="80"/>
        <v>2QSF47 Положение</v>
      </c>
      <c r="E251" s="92" t="s">
        <v>207</v>
      </c>
      <c r="F251" s="279"/>
      <c r="G251" s="281"/>
      <c r="H251" s="283"/>
      <c r="I251" s="106">
        <v>4124</v>
      </c>
      <c r="J251" s="107" t="str">
        <f t="shared" si="81"/>
        <v>SPT18DC/P1A4_GGIO2.Ind7</v>
      </c>
      <c r="K251" s="103" t="str">
        <f t="shared" si="82"/>
        <v>18DC</v>
      </c>
      <c r="L251" s="104" t="str">
        <f t="shared" si="83"/>
        <v>GGIO2</v>
      </c>
      <c r="M251" s="104" t="s">
        <v>48</v>
      </c>
      <c r="N251" s="82" t="str">
        <f t="shared" si="84"/>
        <v>P1A4_</v>
      </c>
      <c r="O251" s="82"/>
      <c r="P251" s="109" t="s">
        <v>781</v>
      </c>
      <c r="Q251" s="82" t="s">
        <v>209</v>
      </c>
      <c r="R251" s="82"/>
      <c r="S251" s="82">
        <f t="shared" si="77"/>
        <v>29</v>
      </c>
      <c r="T251" s="82" t="str">
        <f t="shared" si="78"/>
        <v>lb_dd29</v>
      </c>
      <c r="U251" s="82">
        <f t="shared" si="79"/>
        <v>2028</v>
      </c>
      <c r="V251" s="82"/>
      <c r="W251" s="82"/>
      <c r="X251" s="82"/>
    </row>
    <row r="252" spans="1:24" x14ac:dyDescent="0.3">
      <c r="A252" s="277"/>
      <c r="B252" s="268"/>
      <c r="C252" s="216" t="s">
        <v>23</v>
      </c>
      <c r="D252" s="105" t="str">
        <f t="shared" si="80"/>
        <v>2QSF47 Состояние</v>
      </c>
      <c r="E252" s="92" t="s">
        <v>208</v>
      </c>
      <c r="F252" s="279"/>
      <c r="G252" s="281"/>
      <c r="H252" s="283"/>
      <c r="I252" s="106">
        <v>4125</v>
      </c>
      <c r="J252" s="107" t="str">
        <f t="shared" si="81"/>
        <v>SPT18DC/P1A4_GGIO2.Alm7</v>
      </c>
      <c r="K252" s="103" t="str">
        <f t="shared" si="82"/>
        <v>18DC</v>
      </c>
      <c r="L252" s="104" t="str">
        <f t="shared" si="83"/>
        <v>GGIO2</v>
      </c>
      <c r="M252" s="108" t="s">
        <v>49</v>
      </c>
      <c r="N252" s="82" t="str">
        <f t="shared" si="84"/>
        <v>P1A4_</v>
      </c>
      <c r="O252" s="82"/>
      <c r="P252" s="109" t="s">
        <v>781</v>
      </c>
      <c r="Q252" s="82" t="s">
        <v>210</v>
      </c>
      <c r="R252" s="82"/>
      <c r="S252" s="82">
        <f t="shared" si="77"/>
        <v>30</v>
      </c>
      <c r="T252" s="82" t="str">
        <f t="shared" si="78"/>
        <v>lb_dd30</v>
      </c>
      <c r="U252" s="82">
        <f t="shared" si="79"/>
        <v>2029</v>
      </c>
      <c r="V252" s="82"/>
      <c r="W252" s="82"/>
      <c r="X252" s="82"/>
    </row>
    <row r="253" spans="1:24" x14ac:dyDescent="0.3">
      <c r="A253" s="277"/>
      <c r="B253" s="268"/>
      <c r="C253" s="216" t="s">
        <v>24</v>
      </c>
      <c r="D253" s="105" t="str">
        <f t="shared" si="80"/>
        <v>2QSF48 Положение</v>
      </c>
      <c r="E253" s="92" t="s">
        <v>207</v>
      </c>
      <c r="F253" s="279"/>
      <c r="G253" s="281"/>
      <c r="H253" s="283"/>
      <c r="I253" s="106">
        <v>4126</v>
      </c>
      <c r="J253" s="107" t="str">
        <f t="shared" si="81"/>
        <v>SPT18DC/P1A4_GGIO2.Ind8</v>
      </c>
      <c r="K253" s="103" t="str">
        <f t="shared" si="82"/>
        <v>18DC</v>
      </c>
      <c r="L253" s="104" t="str">
        <f t="shared" si="83"/>
        <v>GGIO2</v>
      </c>
      <c r="M253" s="104" t="s">
        <v>55</v>
      </c>
      <c r="N253" s="82" t="str">
        <f t="shared" si="84"/>
        <v>P1A4_</v>
      </c>
      <c r="O253" s="82"/>
      <c r="P253" s="109" t="s">
        <v>782</v>
      </c>
      <c r="Q253" s="82" t="s">
        <v>209</v>
      </c>
      <c r="R253" s="82"/>
      <c r="S253" s="82">
        <f t="shared" si="77"/>
        <v>31</v>
      </c>
      <c r="T253" s="82" t="str">
        <f t="shared" si="78"/>
        <v>lb_dd31</v>
      </c>
      <c r="U253" s="82">
        <f t="shared" si="79"/>
        <v>2030</v>
      </c>
      <c r="V253" s="82"/>
      <c r="W253" s="82"/>
      <c r="X253" s="82"/>
    </row>
    <row r="254" spans="1:24" x14ac:dyDescent="0.3">
      <c r="A254" s="277"/>
      <c r="B254" s="268"/>
      <c r="C254" s="216" t="s">
        <v>25</v>
      </c>
      <c r="D254" s="105" t="str">
        <f t="shared" si="80"/>
        <v>2QSF48 Состояние</v>
      </c>
      <c r="E254" s="92" t="s">
        <v>208</v>
      </c>
      <c r="F254" s="280"/>
      <c r="G254" s="281"/>
      <c r="H254" s="284"/>
      <c r="I254" s="106">
        <v>4127</v>
      </c>
      <c r="J254" s="107" t="str">
        <f t="shared" si="81"/>
        <v>SPT18DC/P1A4_GGIO2.Alm8</v>
      </c>
      <c r="K254" s="103" t="str">
        <f t="shared" si="82"/>
        <v>18DC</v>
      </c>
      <c r="L254" s="104" t="str">
        <f t="shared" si="83"/>
        <v>GGIO2</v>
      </c>
      <c r="M254" s="108" t="s">
        <v>56</v>
      </c>
      <c r="N254" s="82" t="str">
        <f t="shared" si="84"/>
        <v>P1A4_</v>
      </c>
      <c r="O254" s="82"/>
      <c r="P254" s="109" t="s">
        <v>782</v>
      </c>
      <c r="Q254" s="82" t="s">
        <v>210</v>
      </c>
      <c r="R254" s="82"/>
      <c r="S254" s="82">
        <f t="shared" si="77"/>
        <v>32</v>
      </c>
      <c r="T254" s="82" t="str">
        <f t="shared" si="78"/>
        <v>lb_dd32</v>
      </c>
      <c r="U254" s="82">
        <f t="shared" si="79"/>
        <v>2031</v>
      </c>
      <c r="V254" s="82"/>
      <c r="W254" s="82"/>
      <c r="X254" s="82"/>
    </row>
    <row r="255" spans="1:24" x14ac:dyDescent="0.3">
      <c r="A255" s="252"/>
      <c r="B255" s="253"/>
      <c r="C255" s="253"/>
      <c r="D255" s="253"/>
      <c r="E255" s="253"/>
      <c r="F255" s="253"/>
      <c r="G255" s="253"/>
      <c r="H255" s="253"/>
      <c r="I255" s="253"/>
      <c r="J255" s="254"/>
      <c r="K255" s="103"/>
      <c r="L255" s="104"/>
      <c r="M255" s="163"/>
      <c r="N255" s="82"/>
      <c r="O255" s="82"/>
      <c r="P255" s="98"/>
      <c r="Q255" s="82"/>
      <c r="R255" s="82"/>
      <c r="S255" s="82"/>
      <c r="T255" s="82"/>
      <c r="U255" s="82"/>
      <c r="V255" s="82"/>
      <c r="W255" s="82"/>
      <c r="X255" s="82"/>
    </row>
    <row r="256" spans="1:24" x14ac:dyDescent="0.3">
      <c r="A256" s="273" t="s">
        <v>681</v>
      </c>
      <c r="B256" s="273"/>
      <c r="C256" s="273"/>
      <c r="D256" s="273"/>
      <c r="E256" s="273"/>
      <c r="F256" s="273"/>
      <c r="G256" s="273"/>
      <c r="H256" s="273"/>
      <c r="I256" s="273"/>
      <c r="J256" s="273"/>
      <c r="K256" s="103"/>
      <c r="L256" s="104"/>
      <c r="M256" s="82"/>
      <c r="N256" s="82"/>
      <c r="O256" s="82"/>
      <c r="P256" s="98"/>
      <c r="Q256" s="82"/>
      <c r="R256" s="82"/>
      <c r="S256" s="82"/>
      <c r="T256" s="82"/>
      <c r="U256" s="82"/>
      <c r="V256" s="82"/>
      <c r="W256" s="82"/>
      <c r="X256" s="82"/>
    </row>
    <row r="257" spans="1:24" x14ac:dyDescent="0.3">
      <c r="A257" s="277">
        <v>15</v>
      </c>
      <c r="B257" s="268" t="s">
        <v>7</v>
      </c>
      <c r="C257" s="216" t="s">
        <v>12</v>
      </c>
      <c r="D257" s="105" t="str">
        <f>CONCATENATE("1FU",P257," ",Q257)</f>
        <v>1FU1 Положение</v>
      </c>
      <c r="E257" s="92" t="s">
        <v>207</v>
      </c>
      <c r="F257" s="278" t="s">
        <v>28</v>
      </c>
      <c r="G257" s="281" t="s">
        <v>353</v>
      </c>
      <c r="H257" s="282" t="s">
        <v>59</v>
      </c>
      <c r="I257" s="106">
        <v>4112</v>
      </c>
      <c r="J257" s="107" t="str">
        <f>IF(OR(D257="",D257="-"),"",CONCATENATE("SPT",K257,"/",N257,L257,".",M257))</f>
        <v>SPT18DC/P1A4_GGIO2.Ind1</v>
      </c>
      <c r="K257" s="177" t="s">
        <v>791</v>
      </c>
      <c r="L257" s="178" t="s">
        <v>245</v>
      </c>
      <c r="M257" s="104" t="s">
        <v>36</v>
      </c>
      <c r="N257" s="179" t="s">
        <v>631</v>
      </c>
      <c r="O257" s="82"/>
      <c r="P257" s="98">
        <v>1</v>
      </c>
      <c r="Q257" s="82" t="s">
        <v>209</v>
      </c>
      <c r="R257" s="82"/>
      <c r="S257" s="82">
        <f t="shared" ref="S257:S272" si="85">I257-4095</f>
        <v>17</v>
      </c>
      <c r="T257" s="82" t="str">
        <f t="shared" ref="T257:T272" si="86">_xlfn.CONCAT($T$1,S257)</f>
        <v>lb_dd17</v>
      </c>
      <c r="U257" s="82">
        <f t="shared" ref="U257:U272" si="87">S257+1999</f>
        <v>2016</v>
      </c>
      <c r="V257" s="82">
        <v>809</v>
      </c>
      <c r="W257" s="82">
        <v>1058</v>
      </c>
      <c r="X257" s="82"/>
    </row>
    <row r="258" spans="1:24" x14ac:dyDescent="0.3">
      <c r="A258" s="277"/>
      <c r="B258" s="268"/>
      <c r="C258" s="216" t="s">
        <v>8</v>
      </c>
      <c r="D258" s="105" t="str">
        <f t="shared" ref="D258:D264" si="88">CONCATENATE("1FU",P258," ",Q258)</f>
        <v>1FU1 Состояние</v>
      </c>
      <c r="E258" s="92" t="s">
        <v>208</v>
      </c>
      <c r="F258" s="279"/>
      <c r="G258" s="281"/>
      <c r="H258" s="283"/>
      <c r="I258" s="106">
        <v>4113</v>
      </c>
      <c r="J258" s="107" t="str">
        <f t="shared" ref="J258:J264" si="89">IF(OR(D258="",D258="-"),"",CONCATENATE("SPT",K258,"/",N258,L258,".",M258))</f>
        <v>SPT18DC/P1A4_GGIO2.Alm1</v>
      </c>
      <c r="K258" s="103" t="str">
        <f>K257</f>
        <v>18DC</v>
      </c>
      <c r="L258" s="104" t="str">
        <f>L257</f>
        <v>GGIO2</v>
      </c>
      <c r="M258" s="108" t="s">
        <v>37</v>
      </c>
      <c r="N258" s="82" t="str">
        <f>N257</f>
        <v>P1A4_</v>
      </c>
      <c r="O258" s="82"/>
      <c r="P258" s="98">
        <v>1</v>
      </c>
      <c r="Q258" s="82" t="s">
        <v>210</v>
      </c>
      <c r="R258" s="82"/>
      <c r="S258" s="82">
        <f t="shared" si="85"/>
        <v>18</v>
      </c>
      <c r="T258" s="82" t="str">
        <f t="shared" si="86"/>
        <v>lb_dd18</v>
      </c>
      <c r="U258" s="82">
        <f t="shared" si="87"/>
        <v>2017</v>
      </c>
      <c r="V258" s="82"/>
      <c r="W258" s="82"/>
      <c r="X258" s="82"/>
    </row>
    <row r="259" spans="1:24" x14ac:dyDescent="0.3">
      <c r="A259" s="277"/>
      <c r="B259" s="268"/>
      <c r="C259" s="216" t="s">
        <v>9</v>
      </c>
      <c r="D259" s="105" t="str">
        <f t="shared" si="88"/>
        <v>1FU2 Положение</v>
      </c>
      <c r="E259" s="92" t="s">
        <v>207</v>
      </c>
      <c r="F259" s="279"/>
      <c r="G259" s="281"/>
      <c r="H259" s="283"/>
      <c r="I259" s="106">
        <v>4114</v>
      </c>
      <c r="J259" s="107" t="str">
        <f t="shared" si="89"/>
        <v>SPT18DC/P1A4_GGIO2.Ind2</v>
      </c>
      <c r="K259" s="103" t="str">
        <f t="shared" ref="K259:K272" si="90">K258</f>
        <v>18DC</v>
      </c>
      <c r="L259" s="104" t="str">
        <f t="shared" ref="L259:L272" si="91">L258</f>
        <v>GGIO2</v>
      </c>
      <c r="M259" s="104" t="s">
        <v>38</v>
      </c>
      <c r="N259" s="82" t="str">
        <f t="shared" ref="N259:N272" si="92">N258</f>
        <v>P1A4_</v>
      </c>
      <c r="O259" s="82"/>
      <c r="P259" s="98">
        <v>2</v>
      </c>
      <c r="Q259" s="82" t="s">
        <v>209</v>
      </c>
      <c r="R259" s="82"/>
      <c r="S259" s="82">
        <f t="shared" si="85"/>
        <v>19</v>
      </c>
      <c r="T259" s="82" t="str">
        <f t="shared" si="86"/>
        <v>lb_dd19</v>
      </c>
      <c r="U259" s="82">
        <f t="shared" si="87"/>
        <v>2018</v>
      </c>
      <c r="V259" s="82"/>
      <c r="W259" s="82"/>
      <c r="X259" s="82"/>
    </row>
    <row r="260" spans="1:24" x14ac:dyDescent="0.3">
      <c r="A260" s="277"/>
      <c r="B260" s="268"/>
      <c r="C260" s="216" t="s">
        <v>13</v>
      </c>
      <c r="D260" s="105" t="str">
        <f t="shared" si="88"/>
        <v>1FU2 Состояние</v>
      </c>
      <c r="E260" s="92" t="s">
        <v>208</v>
      </c>
      <c r="F260" s="279"/>
      <c r="G260" s="281"/>
      <c r="H260" s="283"/>
      <c r="I260" s="106">
        <v>4115</v>
      </c>
      <c r="J260" s="107" t="str">
        <f t="shared" si="89"/>
        <v>SPT18DC/P1A4_GGIO2.Alm2</v>
      </c>
      <c r="K260" s="103" t="str">
        <f t="shared" si="90"/>
        <v>18DC</v>
      </c>
      <c r="L260" s="104" t="str">
        <f t="shared" si="91"/>
        <v>GGIO2</v>
      </c>
      <c r="M260" s="108" t="s">
        <v>39</v>
      </c>
      <c r="N260" s="82" t="str">
        <f t="shared" si="92"/>
        <v>P1A4_</v>
      </c>
      <c r="O260" s="82"/>
      <c r="P260" s="98">
        <v>2</v>
      </c>
      <c r="Q260" s="82" t="s">
        <v>210</v>
      </c>
      <c r="R260" s="82"/>
      <c r="S260" s="82">
        <f t="shared" si="85"/>
        <v>20</v>
      </c>
      <c r="T260" s="82" t="str">
        <f t="shared" si="86"/>
        <v>lb_dd20</v>
      </c>
      <c r="U260" s="82">
        <f t="shared" si="87"/>
        <v>2019</v>
      </c>
      <c r="V260" s="82"/>
      <c r="W260" s="82"/>
      <c r="X260" s="82"/>
    </row>
    <row r="261" spans="1:24" x14ac:dyDescent="0.3">
      <c r="A261" s="277"/>
      <c r="B261" s="268"/>
      <c r="C261" s="216" t="s">
        <v>14</v>
      </c>
      <c r="D261" s="105" t="str">
        <f t="shared" si="88"/>
        <v>1FU3 Положение</v>
      </c>
      <c r="E261" s="92" t="s">
        <v>207</v>
      </c>
      <c r="F261" s="279"/>
      <c r="G261" s="281"/>
      <c r="H261" s="283"/>
      <c r="I261" s="106">
        <v>4116</v>
      </c>
      <c r="J261" s="107" t="str">
        <f t="shared" si="89"/>
        <v>SPT18DC/P1A4_GGIO2.Ind3</v>
      </c>
      <c r="K261" s="103" t="str">
        <f t="shared" si="90"/>
        <v>18DC</v>
      </c>
      <c r="L261" s="104" t="str">
        <f t="shared" si="91"/>
        <v>GGIO2</v>
      </c>
      <c r="M261" s="104" t="s">
        <v>40</v>
      </c>
      <c r="N261" s="82" t="str">
        <f t="shared" si="92"/>
        <v>P1A4_</v>
      </c>
      <c r="O261" s="82"/>
      <c r="P261" s="98">
        <v>3</v>
      </c>
      <c r="Q261" s="82" t="s">
        <v>209</v>
      </c>
      <c r="R261" s="82"/>
      <c r="S261" s="82">
        <f t="shared" si="85"/>
        <v>21</v>
      </c>
      <c r="T261" s="82" t="str">
        <f t="shared" si="86"/>
        <v>lb_dd21</v>
      </c>
      <c r="U261" s="82">
        <f t="shared" si="87"/>
        <v>2020</v>
      </c>
      <c r="V261" s="82"/>
      <c r="W261" s="82"/>
      <c r="X261" s="82"/>
    </row>
    <row r="262" spans="1:24" x14ac:dyDescent="0.3">
      <c r="A262" s="277"/>
      <c r="B262" s="268"/>
      <c r="C262" s="216" t="s">
        <v>15</v>
      </c>
      <c r="D262" s="105" t="str">
        <f t="shared" si="88"/>
        <v>1FU3 Состояние</v>
      </c>
      <c r="E262" s="92" t="s">
        <v>208</v>
      </c>
      <c r="F262" s="279"/>
      <c r="G262" s="281"/>
      <c r="H262" s="283"/>
      <c r="I262" s="106">
        <v>4117</v>
      </c>
      <c r="J262" s="107" t="str">
        <f t="shared" si="89"/>
        <v>SPT18DC/P1A4_GGIO2.Alm3</v>
      </c>
      <c r="K262" s="103" t="str">
        <f t="shared" si="90"/>
        <v>18DC</v>
      </c>
      <c r="L262" s="104" t="str">
        <f t="shared" si="91"/>
        <v>GGIO2</v>
      </c>
      <c r="M262" s="108" t="s">
        <v>41</v>
      </c>
      <c r="N262" s="82" t="str">
        <f t="shared" si="92"/>
        <v>P1A4_</v>
      </c>
      <c r="O262" s="82"/>
      <c r="P262" s="98">
        <v>3</v>
      </c>
      <c r="Q262" s="82" t="s">
        <v>210</v>
      </c>
      <c r="R262" s="82"/>
      <c r="S262" s="82">
        <f t="shared" si="85"/>
        <v>22</v>
      </c>
      <c r="T262" s="82" t="str">
        <f t="shared" si="86"/>
        <v>lb_dd22</v>
      </c>
      <c r="U262" s="82">
        <f t="shared" si="87"/>
        <v>2021</v>
      </c>
      <c r="V262" s="82"/>
      <c r="W262" s="82"/>
      <c r="X262" s="82"/>
    </row>
    <row r="263" spans="1:24" x14ac:dyDescent="0.3">
      <c r="A263" s="277"/>
      <c r="B263" s="268"/>
      <c r="C263" s="216" t="s">
        <v>16</v>
      </c>
      <c r="D263" s="105" t="str">
        <f t="shared" si="88"/>
        <v>1FU4 Положение</v>
      </c>
      <c r="E263" s="92" t="s">
        <v>207</v>
      </c>
      <c r="F263" s="279"/>
      <c r="G263" s="281"/>
      <c r="H263" s="283"/>
      <c r="I263" s="106">
        <v>4118</v>
      </c>
      <c r="J263" s="107" t="str">
        <f t="shared" si="89"/>
        <v>SPT18DC/P1A4_GGIO2.Ind4</v>
      </c>
      <c r="K263" s="103" t="str">
        <f t="shared" si="90"/>
        <v>18DC</v>
      </c>
      <c r="L263" s="104" t="str">
        <f t="shared" si="91"/>
        <v>GGIO2</v>
      </c>
      <c r="M263" s="104" t="s">
        <v>42</v>
      </c>
      <c r="N263" s="82" t="str">
        <f t="shared" si="92"/>
        <v>P1A4_</v>
      </c>
      <c r="O263" s="82"/>
      <c r="P263" s="98">
        <v>4</v>
      </c>
      <c r="Q263" s="82" t="s">
        <v>209</v>
      </c>
      <c r="R263" s="82"/>
      <c r="S263" s="82">
        <f t="shared" si="85"/>
        <v>23</v>
      </c>
      <c r="T263" s="82" t="str">
        <f t="shared" si="86"/>
        <v>lb_dd23</v>
      </c>
      <c r="U263" s="82">
        <f t="shared" si="87"/>
        <v>2022</v>
      </c>
      <c r="V263" s="82"/>
      <c r="W263" s="82"/>
      <c r="X263" s="82"/>
    </row>
    <row r="264" spans="1:24" x14ac:dyDescent="0.3">
      <c r="A264" s="277"/>
      <c r="B264" s="268"/>
      <c r="C264" s="216" t="s">
        <v>17</v>
      </c>
      <c r="D264" s="105" t="str">
        <f t="shared" si="88"/>
        <v>1FU4 Состояние</v>
      </c>
      <c r="E264" s="92" t="s">
        <v>208</v>
      </c>
      <c r="F264" s="279"/>
      <c r="G264" s="281"/>
      <c r="H264" s="283"/>
      <c r="I264" s="106">
        <v>4119</v>
      </c>
      <c r="J264" s="107" t="str">
        <f t="shared" si="89"/>
        <v>SPT18DC/P1A4_GGIO2.Alm4</v>
      </c>
      <c r="K264" s="103" t="str">
        <f t="shared" si="90"/>
        <v>18DC</v>
      </c>
      <c r="L264" s="104" t="str">
        <f t="shared" si="91"/>
        <v>GGIO2</v>
      </c>
      <c r="M264" s="108" t="s">
        <v>43</v>
      </c>
      <c r="N264" s="82" t="str">
        <f t="shared" si="92"/>
        <v>P1A4_</v>
      </c>
      <c r="O264" s="82"/>
      <c r="P264" s="98">
        <v>4</v>
      </c>
      <c r="Q264" s="82" t="s">
        <v>210</v>
      </c>
      <c r="R264" s="82"/>
      <c r="S264" s="82">
        <f t="shared" si="85"/>
        <v>24</v>
      </c>
      <c r="T264" s="82" t="str">
        <f t="shared" si="86"/>
        <v>lb_dd24</v>
      </c>
      <c r="U264" s="82">
        <f t="shared" si="87"/>
        <v>2023</v>
      </c>
      <c r="V264" s="82"/>
      <c r="W264" s="82"/>
      <c r="X264" s="82"/>
    </row>
    <row r="265" spans="1:24" x14ac:dyDescent="0.3">
      <c r="A265" s="277"/>
      <c r="B265" s="268"/>
      <c r="C265" s="216" t="s">
        <v>18</v>
      </c>
      <c r="D265" s="222" t="s">
        <v>29</v>
      </c>
      <c r="E265" s="222" t="s">
        <v>29</v>
      </c>
      <c r="F265" s="279"/>
      <c r="G265" s="281"/>
      <c r="H265" s="283"/>
      <c r="I265" s="222" t="s">
        <v>29</v>
      </c>
      <c r="J265" s="222" t="s">
        <v>29</v>
      </c>
      <c r="K265" s="103" t="str">
        <f t="shared" si="90"/>
        <v>18DC</v>
      </c>
      <c r="L265" s="104" t="str">
        <f t="shared" si="91"/>
        <v>GGIO2</v>
      </c>
      <c r="M265" s="104" t="s">
        <v>44</v>
      </c>
      <c r="N265" s="82" t="str">
        <f t="shared" si="92"/>
        <v>P1A4_</v>
      </c>
      <c r="O265" s="82"/>
      <c r="P265" s="109"/>
      <c r="Q265" s="82" t="s">
        <v>209</v>
      </c>
      <c r="R265" s="82"/>
      <c r="S265" s="82" t="e">
        <f t="shared" si="85"/>
        <v>#VALUE!</v>
      </c>
      <c r="T265" s="82" t="e">
        <f t="shared" si="86"/>
        <v>#VALUE!</v>
      </c>
      <c r="U265" s="82" t="e">
        <f t="shared" si="87"/>
        <v>#VALUE!</v>
      </c>
      <c r="V265" s="82"/>
      <c r="W265" s="82"/>
      <c r="X265" s="82"/>
    </row>
    <row r="266" spans="1:24" x14ac:dyDescent="0.3">
      <c r="A266" s="277"/>
      <c r="B266" s="268"/>
      <c r="C266" s="216" t="s">
        <v>19</v>
      </c>
      <c r="D266" s="222" t="s">
        <v>29</v>
      </c>
      <c r="E266" s="222" t="s">
        <v>29</v>
      </c>
      <c r="F266" s="279"/>
      <c r="G266" s="281"/>
      <c r="H266" s="283"/>
      <c r="I266" s="222" t="s">
        <v>29</v>
      </c>
      <c r="J266" s="222" t="s">
        <v>29</v>
      </c>
      <c r="K266" s="103" t="str">
        <f t="shared" si="90"/>
        <v>18DC</v>
      </c>
      <c r="L266" s="104" t="str">
        <f t="shared" si="91"/>
        <v>GGIO2</v>
      </c>
      <c r="M266" s="108" t="s">
        <v>45</v>
      </c>
      <c r="N266" s="82" t="str">
        <f t="shared" si="92"/>
        <v>P1A4_</v>
      </c>
      <c r="O266" s="82"/>
      <c r="P266" s="109"/>
      <c r="Q266" s="82" t="s">
        <v>210</v>
      </c>
      <c r="R266" s="82"/>
      <c r="S266" s="82" t="e">
        <f t="shared" si="85"/>
        <v>#VALUE!</v>
      </c>
      <c r="T266" s="82" t="e">
        <f t="shared" si="86"/>
        <v>#VALUE!</v>
      </c>
      <c r="U266" s="82" t="e">
        <f t="shared" si="87"/>
        <v>#VALUE!</v>
      </c>
      <c r="V266" s="82"/>
      <c r="W266" s="82"/>
      <c r="X266" s="82"/>
    </row>
    <row r="267" spans="1:24" x14ac:dyDescent="0.3">
      <c r="A267" s="277"/>
      <c r="B267" s="268"/>
      <c r="C267" s="216" t="s">
        <v>20</v>
      </c>
      <c r="D267" s="222" t="s">
        <v>29</v>
      </c>
      <c r="E267" s="222" t="s">
        <v>29</v>
      </c>
      <c r="F267" s="279"/>
      <c r="G267" s="281"/>
      <c r="H267" s="283"/>
      <c r="I267" s="222" t="s">
        <v>29</v>
      </c>
      <c r="J267" s="222" t="s">
        <v>29</v>
      </c>
      <c r="K267" s="103" t="str">
        <f t="shared" si="90"/>
        <v>18DC</v>
      </c>
      <c r="L267" s="104" t="str">
        <f t="shared" si="91"/>
        <v>GGIO2</v>
      </c>
      <c r="M267" s="104" t="s">
        <v>46</v>
      </c>
      <c r="N267" s="82" t="str">
        <f t="shared" si="92"/>
        <v>P1A4_</v>
      </c>
      <c r="O267" s="82"/>
      <c r="P267" s="109"/>
      <c r="Q267" s="82" t="s">
        <v>209</v>
      </c>
      <c r="R267" s="82"/>
      <c r="S267" s="82" t="e">
        <f t="shared" si="85"/>
        <v>#VALUE!</v>
      </c>
      <c r="T267" s="82" t="e">
        <f t="shared" si="86"/>
        <v>#VALUE!</v>
      </c>
      <c r="U267" s="82" t="e">
        <f t="shared" si="87"/>
        <v>#VALUE!</v>
      </c>
      <c r="V267" s="82"/>
      <c r="W267" s="82"/>
      <c r="X267" s="82"/>
    </row>
    <row r="268" spans="1:24" x14ac:dyDescent="0.3">
      <c r="A268" s="277"/>
      <c r="B268" s="268"/>
      <c r="C268" s="216" t="s">
        <v>21</v>
      </c>
      <c r="D268" s="222" t="s">
        <v>29</v>
      </c>
      <c r="E268" s="222" t="s">
        <v>29</v>
      </c>
      <c r="F268" s="279"/>
      <c r="G268" s="281"/>
      <c r="H268" s="283"/>
      <c r="I268" s="222" t="s">
        <v>29</v>
      </c>
      <c r="J268" s="222" t="s">
        <v>29</v>
      </c>
      <c r="K268" s="103" t="str">
        <f t="shared" si="90"/>
        <v>18DC</v>
      </c>
      <c r="L268" s="104" t="str">
        <f t="shared" si="91"/>
        <v>GGIO2</v>
      </c>
      <c r="M268" s="108" t="s">
        <v>47</v>
      </c>
      <c r="N268" s="82" t="str">
        <f t="shared" si="92"/>
        <v>P1A4_</v>
      </c>
      <c r="O268" s="82"/>
      <c r="P268" s="109"/>
      <c r="Q268" s="82" t="s">
        <v>210</v>
      </c>
      <c r="R268" s="82"/>
      <c r="S268" s="82" t="e">
        <f t="shared" si="85"/>
        <v>#VALUE!</v>
      </c>
      <c r="T268" s="82" t="e">
        <f t="shared" si="86"/>
        <v>#VALUE!</v>
      </c>
      <c r="U268" s="82" t="e">
        <f t="shared" si="87"/>
        <v>#VALUE!</v>
      </c>
      <c r="V268" s="82"/>
      <c r="W268" s="82"/>
      <c r="X268" s="82"/>
    </row>
    <row r="269" spans="1:24" x14ac:dyDescent="0.3">
      <c r="A269" s="277"/>
      <c r="B269" s="268"/>
      <c r="C269" s="216" t="s">
        <v>22</v>
      </c>
      <c r="D269" s="222" t="s">
        <v>29</v>
      </c>
      <c r="E269" s="222" t="s">
        <v>29</v>
      </c>
      <c r="F269" s="279"/>
      <c r="G269" s="281"/>
      <c r="H269" s="283"/>
      <c r="I269" s="222" t="s">
        <v>29</v>
      </c>
      <c r="J269" s="222" t="s">
        <v>29</v>
      </c>
      <c r="K269" s="103" t="str">
        <f t="shared" si="90"/>
        <v>18DC</v>
      </c>
      <c r="L269" s="104" t="str">
        <f t="shared" si="91"/>
        <v>GGIO2</v>
      </c>
      <c r="M269" s="104" t="s">
        <v>48</v>
      </c>
      <c r="N269" s="82" t="str">
        <f t="shared" si="92"/>
        <v>P1A4_</v>
      </c>
      <c r="O269" s="82"/>
      <c r="P269" s="109"/>
      <c r="Q269" s="82" t="s">
        <v>209</v>
      </c>
      <c r="R269" s="82"/>
      <c r="S269" s="82" t="e">
        <f t="shared" si="85"/>
        <v>#VALUE!</v>
      </c>
      <c r="T269" s="82" t="e">
        <f t="shared" si="86"/>
        <v>#VALUE!</v>
      </c>
      <c r="U269" s="82" t="e">
        <f t="shared" si="87"/>
        <v>#VALUE!</v>
      </c>
      <c r="V269" s="82"/>
      <c r="W269" s="82"/>
      <c r="X269" s="82"/>
    </row>
    <row r="270" spans="1:24" x14ac:dyDescent="0.3">
      <c r="A270" s="277"/>
      <c r="B270" s="268"/>
      <c r="C270" s="216" t="s">
        <v>23</v>
      </c>
      <c r="D270" s="222" t="s">
        <v>29</v>
      </c>
      <c r="E270" s="222" t="s">
        <v>29</v>
      </c>
      <c r="F270" s="279"/>
      <c r="G270" s="281"/>
      <c r="H270" s="283"/>
      <c r="I270" s="222" t="s">
        <v>29</v>
      </c>
      <c r="J270" s="222" t="s">
        <v>29</v>
      </c>
      <c r="K270" s="103" t="str">
        <f t="shared" si="90"/>
        <v>18DC</v>
      </c>
      <c r="L270" s="104" t="str">
        <f t="shared" si="91"/>
        <v>GGIO2</v>
      </c>
      <c r="M270" s="108" t="s">
        <v>49</v>
      </c>
      <c r="N270" s="82" t="str">
        <f t="shared" si="92"/>
        <v>P1A4_</v>
      </c>
      <c r="O270" s="82"/>
      <c r="P270" s="109"/>
      <c r="Q270" s="82" t="s">
        <v>210</v>
      </c>
      <c r="R270" s="82"/>
      <c r="S270" s="82" t="e">
        <f t="shared" si="85"/>
        <v>#VALUE!</v>
      </c>
      <c r="T270" s="82" t="e">
        <f t="shared" si="86"/>
        <v>#VALUE!</v>
      </c>
      <c r="U270" s="82" t="e">
        <f t="shared" si="87"/>
        <v>#VALUE!</v>
      </c>
      <c r="V270" s="82"/>
      <c r="W270" s="82"/>
      <c r="X270" s="82"/>
    </row>
    <row r="271" spans="1:24" x14ac:dyDescent="0.3">
      <c r="A271" s="277"/>
      <c r="B271" s="268"/>
      <c r="C271" s="216" t="s">
        <v>24</v>
      </c>
      <c r="D271" s="222" t="s">
        <v>29</v>
      </c>
      <c r="E271" s="222" t="s">
        <v>29</v>
      </c>
      <c r="F271" s="279"/>
      <c r="G271" s="281"/>
      <c r="H271" s="283"/>
      <c r="I271" s="222" t="s">
        <v>29</v>
      </c>
      <c r="J271" s="222" t="s">
        <v>29</v>
      </c>
      <c r="K271" s="103" t="str">
        <f t="shared" si="90"/>
        <v>18DC</v>
      </c>
      <c r="L271" s="104" t="str">
        <f t="shared" si="91"/>
        <v>GGIO2</v>
      </c>
      <c r="M271" s="104" t="s">
        <v>55</v>
      </c>
      <c r="N271" s="82" t="str">
        <f t="shared" si="92"/>
        <v>P1A4_</v>
      </c>
      <c r="O271" s="82"/>
      <c r="P271" s="109"/>
      <c r="Q271" s="82" t="s">
        <v>209</v>
      </c>
      <c r="R271" s="82"/>
      <c r="S271" s="82" t="e">
        <f t="shared" si="85"/>
        <v>#VALUE!</v>
      </c>
      <c r="T271" s="82" t="e">
        <f t="shared" si="86"/>
        <v>#VALUE!</v>
      </c>
      <c r="U271" s="82" t="e">
        <f t="shared" si="87"/>
        <v>#VALUE!</v>
      </c>
      <c r="V271" s="82"/>
      <c r="W271" s="82"/>
      <c r="X271" s="82"/>
    </row>
    <row r="272" spans="1:24" x14ac:dyDescent="0.3">
      <c r="A272" s="277"/>
      <c r="B272" s="268"/>
      <c r="C272" s="216" t="s">
        <v>25</v>
      </c>
      <c r="D272" s="441" t="s">
        <v>29</v>
      </c>
      <c r="E272" s="441" t="s">
        <v>29</v>
      </c>
      <c r="F272" s="280"/>
      <c r="G272" s="281"/>
      <c r="H272" s="284"/>
      <c r="I272" s="441" t="s">
        <v>29</v>
      </c>
      <c r="J272" s="441" t="s">
        <v>29</v>
      </c>
      <c r="K272" s="103" t="str">
        <f t="shared" si="90"/>
        <v>18DC</v>
      </c>
      <c r="L272" s="104" t="str">
        <f t="shared" si="91"/>
        <v>GGIO2</v>
      </c>
      <c r="M272" s="108" t="s">
        <v>56</v>
      </c>
      <c r="N272" s="82" t="str">
        <f t="shared" si="92"/>
        <v>P1A4_</v>
      </c>
      <c r="O272" s="82"/>
      <c r="P272" s="109"/>
      <c r="Q272" s="82" t="s">
        <v>210</v>
      </c>
      <c r="R272" s="82"/>
      <c r="S272" s="82" t="e">
        <f t="shared" si="85"/>
        <v>#VALUE!</v>
      </c>
      <c r="T272" s="82" t="e">
        <f t="shared" si="86"/>
        <v>#VALUE!</v>
      </c>
      <c r="U272" s="82" t="e">
        <f t="shared" si="87"/>
        <v>#VALUE!</v>
      </c>
      <c r="V272" s="82"/>
      <c r="W272" s="82"/>
      <c r="X272" s="82"/>
    </row>
    <row r="273" spans="1:24" x14ac:dyDescent="0.3">
      <c r="A273" s="264"/>
      <c r="B273" s="264"/>
      <c r="C273" s="264"/>
      <c r="D273" s="264"/>
      <c r="E273" s="264"/>
      <c r="F273" s="264"/>
      <c r="G273" s="264"/>
      <c r="H273" s="264"/>
      <c r="I273" s="264"/>
      <c r="J273" s="264"/>
      <c r="K273" s="111"/>
      <c r="L273" s="142"/>
      <c r="M273" s="142"/>
      <c r="N273" s="110"/>
      <c r="O273" s="110"/>
      <c r="P273" s="117"/>
      <c r="Q273" s="110"/>
      <c r="R273" s="110"/>
      <c r="S273" s="110"/>
      <c r="T273" s="110"/>
      <c r="U273" s="110"/>
      <c r="V273" s="110"/>
      <c r="W273" s="110"/>
      <c r="X273" s="110"/>
    </row>
    <row r="274" spans="1:24" x14ac:dyDescent="0.3">
      <c r="A274" s="265" t="s">
        <v>682</v>
      </c>
      <c r="B274" s="266"/>
      <c r="C274" s="266"/>
      <c r="D274" s="266"/>
      <c r="E274" s="266"/>
      <c r="F274" s="266"/>
      <c r="G274" s="266"/>
      <c r="H274" s="266"/>
      <c r="I274" s="266"/>
      <c r="J274" s="267"/>
      <c r="K274" s="103"/>
      <c r="L274" s="104"/>
      <c r="M274" s="82"/>
      <c r="N274" s="82"/>
      <c r="O274" s="82"/>
      <c r="P274" s="98"/>
      <c r="Q274" s="82"/>
      <c r="R274" s="82"/>
      <c r="S274" s="82"/>
      <c r="T274" s="82"/>
      <c r="U274" s="82"/>
      <c r="V274" s="82"/>
      <c r="W274" s="82"/>
      <c r="X274" s="82"/>
    </row>
    <row r="275" spans="1:24" x14ac:dyDescent="0.3">
      <c r="A275" s="301" t="s">
        <v>59</v>
      </c>
      <c r="B275" s="301" t="s">
        <v>3</v>
      </c>
      <c r="C275" s="128" t="s">
        <v>12</v>
      </c>
      <c r="D275" s="87" t="s">
        <v>529</v>
      </c>
      <c r="E275" s="91" t="s">
        <v>537</v>
      </c>
      <c r="F275" s="271" t="s">
        <v>30</v>
      </c>
      <c r="G275" s="285" t="s">
        <v>338</v>
      </c>
      <c r="H275" s="270" t="s">
        <v>3</v>
      </c>
      <c r="I275" s="115">
        <v>4229</v>
      </c>
      <c r="J275" s="107" t="str">
        <f>IF(OR(D275="",D275="-"),"",CONCATENATE("SPT",K275,"/",N275,L275,".",M275))</f>
        <v>SPT18HPTM/MSPSA1GGIO2.AnIn1</v>
      </c>
      <c r="K275" s="177" t="s">
        <v>793</v>
      </c>
      <c r="L275" s="178" t="s">
        <v>245</v>
      </c>
      <c r="M275" s="82" t="s">
        <v>51</v>
      </c>
      <c r="N275" s="179" t="s">
        <v>794</v>
      </c>
      <c r="O275" s="82"/>
      <c r="P275" s="98"/>
      <c r="Q275" s="82"/>
      <c r="R275" s="82"/>
      <c r="S275" s="82">
        <f t="shared" ref="S275:S303" si="93">I275-4095</f>
        <v>134</v>
      </c>
      <c r="T275" s="82" t="str">
        <f t="shared" ref="T275:T303" si="94">_xlfn.CONCAT($T$1,S275)</f>
        <v>lb_dd134</v>
      </c>
      <c r="U275" s="82"/>
      <c r="V275" s="82"/>
      <c r="W275" s="82"/>
      <c r="X275" s="82">
        <v>1</v>
      </c>
    </row>
    <row r="276" spans="1:24" x14ac:dyDescent="0.3">
      <c r="A276" s="302"/>
      <c r="B276" s="302"/>
      <c r="C276" s="128" t="s">
        <v>8</v>
      </c>
      <c r="D276" s="87" t="s">
        <v>530</v>
      </c>
      <c r="E276" s="87" t="s">
        <v>537</v>
      </c>
      <c r="F276" s="271"/>
      <c r="G276" s="294"/>
      <c r="H276" s="270"/>
      <c r="I276" s="115">
        <v>4230</v>
      </c>
      <c r="J276" s="107" t="str">
        <f t="shared" ref="J276:J303" si="95">IF(OR(D276="",D276="-"),"",CONCATENATE("SPT",K276,"/",N276,L276,".",M276))</f>
        <v>SPT18HPTM/MSPSA1GGIO2.AnIn2</v>
      </c>
      <c r="K276" s="103" t="str">
        <f>K275</f>
        <v>18HPTM</v>
      </c>
      <c r="L276" s="104" t="str">
        <f>L275</f>
        <v>GGIO2</v>
      </c>
      <c r="M276" s="82" t="s">
        <v>52</v>
      </c>
      <c r="N276" s="82" t="str">
        <f>N275</f>
        <v>MSPSA1</v>
      </c>
      <c r="O276" s="82"/>
      <c r="P276" s="98"/>
      <c r="Q276" s="82"/>
      <c r="R276" s="82"/>
      <c r="S276" s="82">
        <f t="shared" si="93"/>
        <v>135</v>
      </c>
      <c r="T276" s="82" t="str">
        <f t="shared" si="94"/>
        <v>lb_dd135</v>
      </c>
      <c r="U276" s="82"/>
      <c r="V276" s="82"/>
      <c r="W276" s="82"/>
      <c r="X276" s="82">
        <v>2</v>
      </c>
    </row>
    <row r="277" spans="1:24" x14ac:dyDescent="0.3">
      <c r="A277" s="302"/>
      <c r="B277" s="302"/>
      <c r="C277" s="128" t="s">
        <v>9</v>
      </c>
      <c r="D277" s="87" t="s">
        <v>531</v>
      </c>
      <c r="E277" s="87" t="s">
        <v>537</v>
      </c>
      <c r="F277" s="271"/>
      <c r="G277" s="294"/>
      <c r="H277" s="270"/>
      <c r="I277" s="115">
        <v>4231</v>
      </c>
      <c r="J277" s="107" t="str">
        <f t="shared" si="95"/>
        <v>SPT18HPTM/MSPSA1GGIO2.AnIn3</v>
      </c>
      <c r="K277" s="103" t="str">
        <f t="shared" ref="K277:L292" si="96">K276</f>
        <v>18HPTM</v>
      </c>
      <c r="L277" s="104" t="str">
        <f t="shared" si="96"/>
        <v>GGIO2</v>
      </c>
      <c r="M277" s="82" t="s">
        <v>53</v>
      </c>
      <c r="N277" s="82" t="str">
        <f t="shared" ref="N277:N307" si="97">N276</f>
        <v>MSPSA1</v>
      </c>
      <c r="O277" s="82"/>
      <c r="P277" s="98"/>
      <c r="Q277" s="82"/>
      <c r="R277" s="82"/>
      <c r="S277" s="82">
        <f t="shared" si="93"/>
        <v>136</v>
      </c>
      <c r="T277" s="82" t="str">
        <f t="shared" si="94"/>
        <v>lb_dd136</v>
      </c>
      <c r="U277" s="82"/>
      <c r="V277" s="82"/>
      <c r="W277" s="82"/>
      <c r="X277" s="82">
        <v>3</v>
      </c>
    </row>
    <row r="278" spans="1:24" x14ac:dyDescent="0.3">
      <c r="A278" s="302"/>
      <c r="B278" s="302"/>
      <c r="C278" s="128" t="s">
        <v>13</v>
      </c>
      <c r="D278" s="87" t="s">
        <v>202</v>
      </c>
      <c r="E278" s="87" t="s">
        <v>537</v>
      </c>
      <c r="F278" s="271"/>
      <c r="G278" s="294"/>
      <c r="H278" s="270"/>
      <c r="I278" s="115">
        <v>4232</v>
      </c>
      <c r="J278" s="107" t="str">
        <f t="shared" si="95"/>
        <v>SPT18HPTM/MSPSA1GGIO2.AnIn4</v>
      </c>
      <c r="K278" s="103" t="str">
        <f t="shared" si="96"/>
        <v>18HPTM</v>
      </c>
      <c r="L278" s="104" t="str">
        <f t="shared" si="96"/>
        <v>GGIO2</v>
      </c>
      <c r="M278" s="82" t="s">
        <v>54</v>
      </c>
      <c r="N278" s="82" t="str">
        <f t="shared" si="97"/>
        <v>MSPSA1</v>
      </c>
      <c r="O278" s="82"/>
      <c r="P278" s="98"/>
      <c r="Q278" s="82"/>
      <c r="R278" s="82"/>
      <c r="S278" s="82">
        <f t="shared" si="93"/>
        <v>137</v>
      </c>
      <c r="T278" s="82" t="str">
        <f t="shared" si="94"/>
        <v>lb_dd137</v>
      </c>
      <c r="U278" s="82"/>
      <c r="V278" s="82"/>
      <c r="W278" s="82"/>
      <c r="X278" s="82">
        <v>4</v>
      </c>
    </row>
    <row r="279" spans="1:24" x14ac:dyDescent="0.3">
      <c r="A279" s="302"/>
      <c r="B279" s="302"/>
      <c r="C279" s="128" t="s">
        <v>15</v>
      </c>
      <c r="D279" s="87" t="s">
        <v>532</v>
      </c>
      <c r="E279" s="87" t="s">
        <v>537</v>
      </c>
      <c r="F279" s="271"/>
      <c r="G279" s="294"/>
      <c r="H279" s="270"/>
      <c r="I279" s="115">
        <v>4233</v>
      </c>
      <c r="J279" s="107" t="str">
        <f t="shared" si="95"/>
        <v>SPT18HPTM/MSPSA1GGIO2.AnIn5</v>
      </c>
      <c r="K279" s="103" t="str">
        <f t="shared" si="96"/>
        <v>18HPTM</v>
      </c>
      <c r="L279" s="104" t="str">
        <f t="shared" si="96"/>
        <v>GGIO2</v>
      </c>
      <c r="M279" s="82" t="s">
        <v>77</v>
      </c>
      <c r="N279" s="82" t="str">
        <f t="shared" si="97"/>
        <v>MSPSA1</v>
      </c>
      <c r="O279" s="82"/>
      <c r="P279" s="98"/>
      <c r="Q279" s="82"/>
      <c r="R279" s="82"/>
      <c r="S279" s="82">
        <f t="shared" si="93"/>
        <v>138</v>
      </c>
      <c r="T279" s="82" t="str">
        <f t="shared" si="94"/>
        <v>lb_dd138</v>
      </c>
      <c r="U279" s="82"/>
      <c r="V279" s="82"/>
      <c r="W279" s="82"/>
      <c r="X279" s="82">
        <v>5</v>
      </c>
    </row>
    <row r="280" spans="1:24" x14ac:dyDescent="0.3">
      <c r="A280" s="302"/>
      <c r="B280" s="302"/>
      <c r="C280" s="128" t="s">
        <v>22</v>
      </c>
      <c r="D280" s="87" t="s">
        <v>533</v>
      </c>
      <c r="E280" s="87" t="s">
        <v>537</v>
      </c>
      <c r="F280" s="271"/>
      <c r="G280" s="294"/>
      <c r="H280" s="270"/>
      <c r="I280" s="115">
        <v>4234</v>
      </c>
      <c r="J280" s="107" t="str">
        <f t="shared" si="95"/>
        <v>SPT18HPTM/MSPSA1GGIO2.AnIn6</v>
      </c>
      <c r="K280" s="103" t="str">
        <f t="shared" si="96"/>
        <v>18HPTM</v>
      </c>
      <c r="L280" s="104" t="str">
        <f t="shared" si="96"/>
        <v>GGIO2</v>
      </c>
      <c r="M280" s="82" t="s">
        <v>556</v>
      </c>
      <c r="N280" s="82" t="str">
        <f t="shared" si="97"/>
        <v>MSPSA1</v>
      </c>
      <c r="O280" s="82"/>
      <c r="P280" s="98"/>
      <c r="Q280" s="82"/>
      <c r="R280" s="82"/>
      <c r="S280" s="82">
        <f t="shared" si="93"/>
        <v>139</v>
      </c>
      <c r="T280" s="82" t="str">
        <f t="shared" si="94"/>
        <v>lb_dd139</v>
      </c>
      <c r="U280" s="82"/>
      <c r="V280" s="82"/>
      <c r="W280" s="82"/>
      <c r="X280" s="82">
        <v>6</v>
      </c>
    </row>
    <row r="281" spans="1:24" x14ac:dyDescent="0.3">
      <c r="A281" s="302"/>
      <c r="B281" s="302"/>
      <c r="C281" s="128" t="s">
        <v>23</v>
      </c>
      <c r="D281" s="87" t="s">
        <v>534</v>
      </c>
      <c r="E281" s="87" t="s">
        <v>537</v>
      </c>
      <c r="F281" s="271"/>
      <c r="G281" s="294"/>
      <c r="H281" s="270"/>
      <c r="I281" s="115">
        <v>4235</v>
      </c>
      <c r="J281" s="107" t="str">
        <f t="shared" si="95"/>
        <v>SPT18HPTM/MSPSA1GGIO2.AnIn7</v>
      </c>
      <c r="K281" s="103" t="str">
        <f t="shared" si="96"/>
        <v>18HPTM</v>
      </c>
      <c r="L281" s="104" t="str">
        <f t="shared" si="96"/>
        <v>GGIO2</v>
      </c>
      <c r="M281" s="82" t="s">
        <v>557</v>
      </c>
      <c r="N281" s="82" t="str">
        <f t="shared" si="97"/>
        <v>MSPSA1</v>
      </c>
      <c r="O281" s="82"/>
      <c r="P281" s="98"/>
      <c r="Q281" s="82"/>
      <c r="R281" s="82"/>
      <c r="S281" s="82">
        <f t="shared" si="93"/>
        <v>140</v>
      </c>
      <c r="T281" s="82" t="str">
        <f t="shared" si="94"/>
        <v>lb_dd140</v>
      </c>
      <c r="U281" s="82"/>
      <c r="V281" s="82"/>
      <c r="W281" s="82"/>
      <c r="X281" s="82">
        <v>7</v>
      </c>
    </row>
    <row r="282" spans="1:24" x14ac:dyDescent="0.3">
      <c r="A282" s="302"/>
      <c r="B282" s="302"/>
      <c r="C282" s="128" t="s">
        <v>24</v>
      </c>
      <c r="D282" s="87" t="s">
        <v>535</v>
      </c>
      <c r="E282" s="87" t="s">
        <v>537</v>
      </c>
      <c r="F282" s="271"/>
      <c r="G282" s="294"/>
      <c r="H282" s="270"/>
      <c r="I282" s="115">
        <v>4236</v>
      </c>
      <c r="J282" s="107" t="str">
        <f t="shared" si="95"/>
        <v>SPT18HPTM/MSPSA1GGIO2.AnIn8</v>
      </c>
      <c r="K282" s="103" t="str">
        <f t="shared" si="96"/>
        <v>18HPTM</v>
      </c>
      <c r="L282" s="104" t="str">
        <f t="shared" si="96"/>
        <v>GGIO2</v>
      </c>
      <c r="M282" s="82" t="s">
        <v>558</v>
      </c>
      <c r="N282" s="82" t="str">
        <f t="shared" si="97"/>
        <v>MSPSA1</v>
      </c>
      <c r="O282" s="82"/>
      <c r="P282" s="98"/>
      <c r="Q282" s="82"/>
      <c r="R282" s="82"/>
      <c r="S282" s="82">
        <f t="shared" si="93"/>
        <v>141</v>
      </c>
      <c r="T282" s="82" t="str">
        <f t="shared" si="94"/>
        <v>lb_dd141</v>
      </c>
      <c r="U282" s="82"/>
      <c r="V282" s="82"/>
      <c r="W282" s="82"/>
      <c r="X282" s="82">
        <v>8</v>
      </c>
    </row>
    <row r="283" spans="1:24" x14ac:dyDescent="0.3">
      <c r="A283" s="302"/>
      <c r="B283" s="302"/>
      <c r="C283" s="128" t="s">
        <v>31</v>
      </c>
      <c r="D283" s="87" t="s">
        <v>536</v>
      </c>
      <c r="E283" s="87" t="s">
        <v>537</v>
      </c>
      <c r="F283" s="271"/>
      <c r="G283" s="294"/>
      <c r="H283" s="270"/>
      <c r="I283" s="115">
        <v>4237</v>
      </c>
      <c r="J283" s="107" t="str">
        <f t="shared" si="95"/>
        <v>SPT18HPTM/MSPSA1GGIO2.AnIn9</v>
      </c>
      <c r="K283" s="103" t="str">
        <f t="shared" si="96"/>
        <v>18HPTM</v>
      </c>
      <c r="L283" s="104" t="str">
        <f t="shared" si="96"/>
        <v>GGIO2</v>
      </c>
      <c r="M283" s="82" t="s">
        <v>559</v>
      </c>
      <c r="N283" s="82" t="str">
        <f t="shared" si="97"/>
        <v>MSPSA1</v>
      </c>
      <c r="O283" s="82"/>
      <c r="P283" s="98"/>
      <c r="Q283" s="82"/>
      <c r="R283" s="82"/>
      <c r="S283" s="82">
        <f t="shared" si="93"/>
        <v>142</v>
      </c>
      <c r="T283" s="82" t="str">
        <f t="shared" si="94"/>
        <v>lb_dd142</v>
      </c>
      <c r="U283" s="82"/>
      <c r="V283" s="82"/>
      <c r="W283" s="82"/>
      <c r="X283" s="82">
        <v>9</v>
      </c>
    </row>
    <row r="284" spans="1:24" x14ac:dyDescent="0.3">
      <c r="A284" s="302"/>
      <c r="B284" s="302"/>
      <c r="C284" s="87">
        <v>512</v>
      </c>
      <c r="D284" s="87" t="s">
        <v>540</v>
      </c>
      <c r="E284" s="87" t="s">
        <v>208</v>
      </c>
      <c r="F284" s="314" t="s">
        <v>28</v>
      </c>
      <c r="G284" s="294"/>
      <c r="H284" s="282" t="s">
        <v>59</v>
      </c>
      <c r="I284" s="115">
        <v>4238</v>
      </c>
      <c r="J284" s="107" t="str">
        <f t="shared" si="95"/>
        <v>SPT18HPTM/MSPSA1GGIO2.Alm1</v>
      </c>
      <c r="K284" s="103" t="str">
        <f t="shared" si="96"/>
        <v>18HPTM</v>
      </c>
      <c r="L284" s="104" t="str">
        <f t="shared" si="96"/>
        <v>GGIO2</v>
      </c>
      <c r="M284" s="108" t="s">
        <v>37</v>
      </c>
      <c r="N284" s="82" t="str">
        <f t="shared" si="97"/>
        <v>MSPSA1</v>
      </c>
      <c r="O284" s="82"/>
      <c r="P284" s="98"/>
      <c r="Q284" s="82"/>
      <c r="R284" s="82"/>
      <c r="S284" s="82">
        <f t="shared" si="93"/>
        <v>143</v>
      </c>
      <c r="T284" s="82" t="str">
        <f t="shared" si="94"/>
        <v>lb_dd143</v>
      </c>
      <c r="U284" s="82"/>
      <c r="V284" s="82"/>
      <c r="W284" s="82"/>
      <c r="X284" s="82">
        <v>10</v>
      </c>
    </row>
    <row r="285" spans="1:24" x14ac:dyDescent="0.3">
      <c r="A285" s="302"/>
      <c r="B285" s="302"/>
      <c r="C285" s="87">
        <v>513</v>
      </c>
      <c r="D285" s="87" t="s">
        <v>541</v>
      </c>
      <c r="E285" s="87" t="s">
        <v>208</v>
      </c>
      <c r="F285" s="315"/>
      <c r="G285" s="294"/>
      <c r="H285" s="283"/>
      <c r="I285" s="115">
        <v>4239</v>
      </c>
      <c r="J285" s="107" t="str">
        <f t="shared" si="95"/>
        <v>SPT18HPTM/MSPSA1GGIO2.Alm2</v>
      </c>
      <c r="K285" s="103" t="str">
        <f t="shared" si="96"/>
        <v>18HPTM</v>
      </c>
      <c r="L285" s="104" t="str">
        <f t="shared" si="96"/>
        <v>GGIO2</v>
      </c>
      <c r="M285" s="108" t="s">
        <v>39</v>
      </c>
      <c r="N285" s="82" t="str">
        <f t="shared" si="97"/>
        <v>MSPSA1</v>
      </c>
      <c r="O285" s="82"/>
      <c r="P285" s="98"/>
      <c r="Q285" s="82"/>
      <c r="R285" s="82"/>
      <c r="S285" s="82">
        <f t="shared" si="93"/>
        <v>144</v>
      </c>
      <c r="T285" s="82" t="str">
        <f t="shared" si="94"/>
        <v>lb_dd144</v>
      </c>
      <c r="U285" s="82"/>
      <c r="V285" s="82"/>
      <c r="W285" s="82"/>
      <c r="X285" s="82">
        <v>11</v>
      </c>
    </row>
    <row r="286" spans="1:24" x14ac:dyDescent="0.3">
      <c r="A286" s="302"/>
      <c r="B286" s="302"/>
      <c r="C286" s="87">
        <v>514</v>
      </c>
      <c r="D286" s="87" t="s">
        <v>542</v>
      </c>
      <c r="E286" s="87" t="s">
        <v>208</v>
      </c>
      <c r="F286" s="315"/>
      <c r="G286" s="294"/>
      <c r="H286" s="283"/>
      <c r="I286" s="115">
        <v>4240</v>
      </c>
      <c r="J286" s="107" t="str">
        <f t="shared" si="95"/>
        <v>SPT18HPTM/MSPSA1GGIO2.Alm3</v>
      </c>
      <c r="K286" s="103" t="str">
        <f t="shared" si="96"/>
        <v>18HPTM</v>
      </c>
      <c r="L286" s="104" t="str">
        <f t="shared" si="96"/>
        <v>GGIO2</v>
      </c>
      <c r="M286" s="108" t="s">
        <v>41</v>
      </c>
      <c r="N286" s="82" t="str">
        <f t="shared" si="97"/>
        <v>MSPSA1</v>
      </c>
      <c r="O286" s="82"/>
      <c r="P286" s="98"/>
      <c r="Q286" s="82"/>
      <c r="R286" s="82"/>
      <c r="S286" s="82">
        <f t="shared" si="93"/>
        <v>145</v>
      </c>
      <c r="T286" s="82" t="str">
        <f t="shared" si="94"/>
        <v>lb_dd145</v>
      </c>
      <c r="U286" s="82"/>
      <c r="V286" s="82"/>
      <c r="W286" s="82"/>
      <c r="X286" s="82">
        <v>12</v>
      </c>
    </row>
    <row r="287" spans="1:24" x14ac:dyDescent="0.3">
      <c r="A287" s="302"/>
      <c r="B287" s="302"/>
      <c r="C287" s="87">
        <v>515</v>
      </c>
      <c r="D287" s="87" t="s">
        <v>543</v>
      </c>
      <c r="E287" s="87" t="s">
        <v>208</v>
      </c>
      <c r="F287" s="315"/>
      <c r="G287" s="294"/>
      <c r="H287" s="283"/>
      <c r="I287" s="115">
        <v>4241</v>
      </c>
      <c r="J287" s="107" t="str">
        <f t="shared" si="95"/>
        <v>SPT18HPTM/MSPSA1GGIO2.Alm4</v>
      </c>
      <c r="K287" s="103" t="str">
        <f t="shared" si="96"/>
        <v>18HPTM</v>
      </c>
      <c r="L287" s="104" t="str">
        <f t="shared" si="96"/>
        <v>GGIO2</v>
      </c>
      <c r="M287" s="108" t="s">
        <v>43</v>
      </c>
      <c r="N287" s="82" t="str">
        <f t="shared" si="97"/>
        <v>MSPSA1</v>
      </c>
      <c r="O287" s="82"/>
      <c r="P287" s="98"/>
      <c r="Q287" s="82"/>
      <c r="R287" s="82"/>
      <c r="S287" s="82">
        <f t="shared" si="93"/>
        <v>146</v>
      </c>
      <c r="T287" s="82" t="str">
        <f t="shared" si="94"/>
        <v>lb_dd146</v>
      </c>
      <c r="U287" s="82"/>
      <c r="V287" s="82"/>
      <c r="W287" s="82"/>
      <c r="X287" s="82">
        <v>13</v>
      </c>
    </row>
    <row r="288" spans="1:24" x14ac:dyDescent="0.3">
      <c r="A288" s="302"/>
      <c r="B288" s="302"/>
      <c r="C288" s="87">
        <v>517</v>
      </c>
      <c r="D288" s="87" t="s">
        <v>202</v>
      </c>
      <c r="E288" s="87" t="s">
        <v>208</v>
      </c>
      <c r="F288" s="315"/>
      <c r="G288" s="294"/>
      <c r="H288" s="283"/>
      <c r="I288" s="115">
        <v>4242</v>
      </c>
      <c r="J288" s="107" t="str">
        <f t="shared" si="95"/>
        <v>SPT18HPTM/MSPSA1GGIO2.Alm5</v>
      </c>
      <c r="K288" s="103" t="str">
        <f t="shared" si="96"/>
        <v>18HPTM</v>
      </c>
      <c r="L288" s="104" t="str">
        <f t="shared" si="96"/>
        <v>GGIO2</v>
      </c>
      <c r="M288" s="108" t="s">
        <v>45</v>
      </c>
      <c r="N288" s="82" t="str">
        <f t="shared" si="97"/>
        <v>MSPSA1</v>
      </c>
      <c r="O288" s="82"/>
      <c r="P288" s="98"/>
      <c r="Q288" s="82"/>
      <c r="R288" s="82"/>
      <c r="S288" s="82">
        <f t="shared" si="93"/>
        <v>147</v>
      </c>
      <c r="T288" s="82" t="str">
        <f t="shared" si="94"/>
        <v>lb_dd147</v>
      </c>
      <c r="U288" s="82"/>
      <c r="V288" s="82"/>
      <c r="W288" s="82"/>
      <c r="X288" s="82">
        <v>14</v>
      </c>
    </row>
    <row r="289" spans="1:24" x14ac:dyDescent="0.3">
      <c r="A289" s="302"/>
      <c r="B289" s="302"/>
      <c r="C289" s="87">
        <v>518</v>
      </c>
      <c r="D289" s="87" t="s">
        <v>544</v>
      </c>
      <c r="E289" s="87" t="s">
        <v>208</v>
      </c>
      <c r="F289" s="315"/>
      <c r="G289" s="294"/>
      <c r="H289" s="283"/>
      <c r="I289" s="115">
        <v>4243</v>
      </c>
      <c r="J289" s="107" t="str">
        <f t="shared" si="95"/>
        <v>SPT18HPTM/MSPSA1GGIO2.Alm6</v>
      </c>
      <c r="K289" s="103" t="str">
        <f t="shared" si="96"/>
        <v>18HPTM</v>
      </c>
      <c r="L289" s="104" t="str">
        <f t="shared" si="96"/>
        <v>GGIO2</v>
      </c>
      <c r="M289" s="108" t="s">
        <v>47</v>
      </c>
      <c r="N289" s="82" t="str">
        <f t="shared" si="97"/>
        <v>MSPSA1</v>
      </c>
      <c r="O289" s="82"/>
      <c r="P289" s="98"/>
      <c r="Q289" s="82"/>
      <c r="R289" s="82"/>
      <c r="S289" s="82">
        <f t="shared" si="93"/>
        <v>148</v>
      </c>
      <c r="T289" s="82" t="str">
        <f t="shared" si="94"/>
        <v>lb_dd148</v>
      </c>
      <c r="U289" s="82"/>
      <c r="V289" s="82"/>
      <c r="W289" s="82"/>
      <c r="X289" s="82">
        <v>15</v>
      </c>
    </row>
    <row r="290" spans="1:24" ht="24" x14ac:dyDescent="0.3">
      <c r="A290" s="302"/>
      <c r="B290" s="302"/>
      <c r="C290" s="87">
        <v>519</v>
      </c>
      <c r="D290" s="87" t="s">
        <v>545</v>
      </c>
      <c r="E290" s="87" t="s">
        <v>555</v>
      </c>
      <c r="F290" s="315"/>
      <c r="G290" s="294"/>
      <c r="H290" s="283"/>
      <c r="I290" s="115">
        <v>4244</v>
      </c>
      <c r="J290" s="107" t="str">
        <f t="shared" si="95"/>
        <v>SPT18HPTM/MSPSA1GGIO2.Ind1</v>
      </c>
      <c r="K290" s="103" t="str">
        <f t="shared" si="96"/>
        <v>18HPTM</v>
      </c>
      <c r="L290" s="104" t="str">
        <f t="shared" si="96"/>
        <v>GGIO2</v>
      </c>
      <c r="M290" s="82" t="s">
        <v>36</v>
      </c>
      <c r="N290" s="82" t="str">
        <f t="shared" si="97"/>
        <v>MSPSA1</v>
      </c>
      <c r="O290" s="82"/>
      <c r="P290" s="98"/>
      <c r="Q290" s="82"/>
      <c r="R290" s="82"/>
      <c r="S290" s="82">
        <f t="shared" si="93"/>
        <v>149</v>
      </c>
      <c r="T290" s="82" t="str">
        <f t="shared" si="94"/>
        <v>lb_dd149</v>
      </c>
      <c r="U290" s="82"/>
      <c r="V290" s="82"/>
      <c r="W290" s="82"/>
      <c r="X290" s="82">
        <v>16</v>
      </c>
    </row>
    <row r="291" spans="1:24" x14ac:dyDescent="0.3">
      <c r="A291" s="302"/>
      <c r="B291" s="302"/>
      <c r="C291" s="87">
        <v>528</v>
      </c>
      <c r="D291" s="87" t="s">
        <v>546</v>
      </c>
      <c r="E291" s="87" t="s">
        <v>208</v>
      </c>
      <c r="F291" s="315"/>
      <c r="G291" s="294"/>
      <c r="H291" s="283"/>
      <c r="I291" s="115">
        <v>4245</v>
      </c>
      <c r="J291" s="107" t="str">
        <f t="shared" si="95"/>
        <v>SPT18HPTM/MSPSA1GGIO2.Alm7</v>
      </c>
      <c r="K291" s="103" t="str">
        <f t="shared" si="96"/>
        <v>18HPTM</v>
      </c>
      <c r="L291" s="104" t="str">
        <f t="shared" si="96"/>
        <v>GGIO2</v>
      </c>
      <c r="M291" s="108" t="s">
        <v>49</v>
      </c>
      <c r="N291" s="82" t="str">
        <f t="shared" si="97"/>
        <v>MSPSA1</v>
      </c>
      <c r="O291" s="82"/>
      <c r="P291" s="98"/>
      <c r="Q291" s="82"/>
      <c r="R291" s="82"/>
      <c r="S291" s="82">
        <f t="shared" si="93"/>
        <v>150</v>
      </c>
      <c r="T291" s="82" t="str">
        <f t="shared" si="94"/>
        <v>lb_dd150</v>
      </c>
      <c r="U291" s="82"/>
      <c r="V291" s="82"/>
      <c r="W291" s="82"/>
      <c r="X291" s="82">
        <v>17</v>
      </c>
    </row>
    <row r="292" spans="1:24" x14ac:dyDescent="0.3">
      <c r="A292" s="302"/>
      <c r="B292" s="302"/>
      <c r="C292" s="87">
        <v>529</v>
      </c>
      <c r="D292" s="87" t="s">
        <v>547</v>
      </c>
      <c r="E292" s="87" t="s">
        <v>208</v>
      </c>
      <c r="F292" s="315"/>
      <c r="G292" s="294"/>
      <c r="H292" s="283"/>
      <c r="I292" s="115">
        <v>4246</v>
      </c>
      <c r="J292" s="107" t="str">
        <f t="shared" si="95"/>
        <v>SPT18HPTM/MSPSA1GGIO2.Alm8</v>
      </c>
      <c r="K292" s="103" t="str">
        <f t="shared" si="96"/>
        <v>18HPTM</v>
      </c>
      <c r="L292" s="104" t="str">
        <f t="shared" si="96"/>
        <v>GGIO2</v>
      </c>
      <c r="M292" s="108" t="s">
        <v>56</v>
      </c>
      <c r="N292" s="82" t="str">
        <f t="shared" si="97"/>
        <v>MSPSA1</v>
      </c>
      <c r="O292" s="82"/>
      <c r="P292" s="98"/>
      <c r="Q292" s="82"/>
      <c r="R292" s="82"/>
      <c r="S292" s="82">
        <f t="shared" si="93"/>
        <v>151</v>
      </c>
      <c r="T292" s="82" t="str">
        <f t="shared" si="94"/>
        <v>lb_dd151</v>
      </c>
      <c r="U292" s="82"/>
      <c r="V292" s="82"/>
      <c r="W292" s="82"/>
      <c r="X292" s="82">
        <v>18</v>
      </c>
    </row>
    <row r="293" spans="1:24" x14ac:dyDescent="0.3">
      <c r="A293" s="302"/>
      <c r="B293" s="302"/>
      <c r="C293" s="87">
        <v>530</v>
      </c>
      <c r="D293" s="87" t="s">
        <v>137</v>
      </c>
      <c r="E293" s="87" t="s">
        <v>208</v>
      </c>
      <c r="F293" s="315"/>
      <c r="G293" s="294"/>
      <c r="H293" s="283"/>
      <c r="I293" s="115">
        <v>4247</v>
      </c>
      <c r="J293" s="107" t="str">
        <f t="shared" si="95"/>
        <v>SPT18HPTM/MSPSA1GGIO2.Alm9</v>
      </c>
      <c r="K293" s="103" t="str">
        <f t="shared" ref="K293:L303" si="98">K292</f>
        <v>18HPTM</v>
      </c>
      <c r="L293" s="104" t="str">
        <f t="shared" si="98"/>
        <v>GGIO2</v>
      </c>
      <c r="M293" s="108" t="s">
        <v>217</v>
      </c>
      <c r="N293" s="82" t="str">
        <f t="shared" si="97"/>
        <v>MSPSA1</v>
      </c>
      <c r="O293" s="82"/>
      <c r="P293" s="98"/>
      <c r="Q293" s="82"/>
      <c r="R293" s="82"/>
      <c r="S293" s="82">
        <f t="shared" si="93"/>
        <v>152</v>
      </c>
      <c r="T293" s="82" t="str">
        <f t="shared" si="94"/>
        <v>lb_dd152</v>
      </c>
      <c r="U293" s="82"/>
      <c r="V293" s="82"/>
      <c r="W293" s="82"/>
      <c r="X293" s="82">
        <v>19</v>
      </c>
    </row>
    <row r="294" spans="1:24" ht="24" x14ac:dyDescent="0.3">
      <c r="A294" s="302"/>
      <c r="B294" s="302"/>
      <c r="C294" s="87">
        <v>536</v>
      </c>
      <c r="D294" s="87" t="s">
        <v>548</v>
      </c>
      <c r="E294" s="87" t="s">
        <v>208</v>
      </c>
      <c r="F294" s="315"/>
      <c r="G294" s="294"/>
      <c r="H294" s="283"/>
      <c r="I294" s="115">
        <v>4248</v>
      </c>
      <c r="J294" s="107" t="str">
        <f t="shared" si="95"/>
        <v>SPT18HPTM/MSPSA1GGIO2.Alm10</v>
      </c>
      <c r="K294" s="103" t="str">
        <f t="shared" si="98"/>
        <v>18HPTM</v>
      </c>
      <c r="L294" s="104" t="str">
        <f t="shared" si="98"/>
        <v>GGIO2</v>
      </c>
      <c r="M294" s="108" t="s">
        <v>218</v>
      </c>
      <c r="N294" s="82" t="str">
        <f t="shared" si="97"/>
        <v>MSPSA1</v>
      </c>
      <c r="O294" s="82"/>
      <c r="P294" s="98"/>
      <c r="Q294" s="82"/>
      <c r="R294" s="82"/>
      <c r="S294" s="82">
        <f t="shared" si="93"/>
        <v>153</v>
      </c>
      <c r="T294" s="82" t="str">
        <f t="shared" si="94"/>
        <v>lb_dd153</v>
      </c>
      <c r="U294" s="82"/>
      <c r="V294" s="82"/>
      <c r="W294" s="82"/>
      <c r="X294" s="82">
        <v>20</v>
      </c>
    </row>
    <row r="295" spans="1:24" ht="24" x14ac:dyDescent="0.3">
      <c r="A295" s="302"/>
      <c r="B295" s="302"/>
      <c r="C295" s="87">
        <v>537</v>
      </c>
      <c r="D295" s="87" t="s">
        <v>549</v>
      </c>
      <c r="E295" s="87" t="s">
        <v>208</v>
      </c>
      <c r="F295" s="315"/>
      <c r="G295" s="294"/>
      <c r="H295" s="283"/>
      <c r="I295" s="115">
        <v>4249</v>
      </c>
      <c r="J295" s="107" t="str">
        <f t="shared" si="95"/>
        <v>SPT18HPTM/MSPSA1GGIO2.Alm11</v>
      </c>
      <c r="K295" s="103" t="str">
        <f t="shared" si="98"/>
        <v>18HPTM</v>
      </c>
      <c r="L295" s="104" t="str">
        <f t="shared" si="98"/>
        <v>GGIO2</v>
      </c>
      <c r="M295" s="108" t="s">
        <v>219</v>
      </c>
      <c r="N295" s="82" t="str">
        <f t="shared" si="97"/>
        <v>MSPSA1</v>
      </c>
      <c r="O295" s="82"/>
      <c r="P295" s="98"/>
      <c r="Q295" s="82"/>
      <c r="R295" s="82"/>
      <c r="S295" s="82">
        <f t="shared" si="93"/>
        <v>154</v>
      </c>
      <c r="T295" s="82" t="str">
        <f t="shared" si="94"/>
        <v>lb_dd154</v>
      </c>
      <c r="U295" s="82"/>
      <c r="V295" s="82"/>
      <c r="W295" s="82"/>
      <c r="X295" s="82">
        <v>21</v>
      </c>
    </row>
    <row r="296" spans="1:24" ht="24" x14ac:dyDescent="0.3">
      <c r="A296" s="302"/>
      <c r="B296" s="302"/>
      <c r="C296" s="87">
        <v>538</v>
      </c>
      <c r="D296" s="87" t="s">
        <v>550</v>
      </c>
      <c r="E296" s="87" t="s">
        <v>208</v>
      </c>
      <c r="F296" s="315"/>
      <c r="G296" s="294"/>
      <c r="H296" s="283"/>
      <c r="I296" s="115">
        <v>4250</v>
      </c>
      <c r="J296" s="107" t="str">
        <f t="shared" si="95"/>
        <v>SPT18HPTM/MSPSA1GGIO2.Alm12</v>
      </c>
      <c r="K296" s="103" t="str">
        <f t="shared" si="98"/>
        <v>18HPTM</v>
      </c>
      <c r="L296" s="104" t="str">
        <f t="shared" si="98"/>
        <v>GGIO2</v>
      </c>
      <c r="M296" s="108" t="s">
        <v>220</v>
      </c>
      <c r="N296" s="82" t="str">
        <f t="shared" si="97"/>
        <v>MSPSA1</v>
      </c>
      <c r="O296" s="82"/>
      <c r="P296" s="98"/>
      <c r="Q296" s="82"/>
      <c r="R296" s="82"/>
      <c r="S296" s="82">
        <f t="shared" si="93"/>
        <v>155</v>
      </c>
      <c r="T296" s="82" t="str">
        <f t="shared" si="94"/>
        <v>lb_dd155</v>
      </c>
      <c r="U296" s="82"/>
      <c r="V296" s="82"/>
      <c r="W296" s="82"/>
      <c r="X296" s="82">
        <v>22</v>
      </c>
    </row>
    <row r="297" spans="1:24" x14ac:dyDescent="0.3">
      <c r="A297" s="302"/>
      <c r="B297" s="302"/>
      <c r="C297" s="87">
        <v>568</v>
      </c>
      <c r="D297" s="87" t="s">
        <v>551</v>
      </c>
      <c r="E297" s="87" t="s">
        <v>208</v>
      </c>
      <c r="F297" s="315"/>
      <c r="G297" s="294"/>
      <c r="H297" s="283"/>
      <c r="I297" s="115">
        <v>4251</v>
      </c>
      <c r="J297" s="107" t="str">
        <f t="shared" si="95"/>
        <v>SPT18HPTM/MSPSA1GGIO2.Alm13</v>
      </c>
      <c r="K297" s="103" t="str">
        <f t="shared" si="98"/>
        <v>18HPTM</v>
      </c>
      <c r="L297" s="104" t="str">
        <f t="shared" si="98"/>
        <v>GGIO2</v>
      </c>
      <c r="M297" s="108" t="s">
        <v>221</v>
      </c>
      <c r="N297" s="82" t="str">
        <f t="shared" si="97"/>
        <v>MSPSA1</v>
      </c>
      <c r="O297" s="82"/>
      <c r="P297" s="98"/>
      <c r="Q297" s="82"/>
      <c r="R297" s="82"/>
      <c r="S297" s="82">
        <f t="shared" si="93"/>
        <v>156</v>
      </c>
      <c r="T297" s="82" t="str">
        <f t="shared" si="94"/>
        <v>lb_dd156</v>
      </c>
      <c r="U297" s="82"/>
      <c r="V297" s="82"/>
      <c r="W297" s="82"/>
      <c r="X297" s="82">
        <v>23</v>
      </c>
    </row>
    <row r="298" spans="1:24" x14ac:dyDescent="0.3">
      <c r="A298" s="302"/>
      <c r="B298" s="302"/>
      <c r="C298" s="87">
        <v>744</v>
      </c>
      <c r="D298" s="87" t="s">
        <v>783</v>
      </c>
      <c r="E298" s="87" t="s">
        <v>370</v>
      </c>
      <c r="F298" s="315"/>
      <c r="G298" s="294"/>
      <c r="H298" s="283"/>
      <c r="I298" s="115">
        <v>4252</v>
      </c>
      <c r="J298" s="107" t="str">
        <f t="shared" si="95"/>
        <v>SPT18HPTM/MSPSA1GGIO2.Ind2</v>
      </c>
      <c r="K298" s="103" t="str">
        <f t="shared" si="98"/>
        <v>18HPTM</v>
      </c>
      <c r="L298" s="104" t="str">
        <f t="shared" si="98"/>
        <v>GGIO2</v>
      </c>
      <c r="M298" s="82" t="s">
        <v>38</v>
      </c>
      <c r="N298" s="82" t="str">
        <f t="shared" si="97"/>
        <v>MSPSA1</v>
      </c>
      <c r="O298" s="82"/>
      <c r="P298" s="98"/>
      <c r="Q298" s="82"/>
      <c r="R298" s="82"/>
      <c r="S298" s="82">
        <f t="shared" si="93"/>
        <v>157</v>
      </c>
      <c r="T298" s="82" t="str">
        <f t="shared" si="94"/>
        <v>lb_dd157</v>
      </c>
      <c r="U298" s="82"/>
      <c r="V298" s="82"/>
      <c r="W298" s="82"/>
      <c r="X298" s="82">
        <v>24</v>
      </c>
    </row>
    <row r="299" spans="1:24" x14ac:dyDescent="0.3">
      <c r="A299" s="302"/>
      <c r="B299" s="302"/>
      <c r="C299" s="87">
        <v>745</v>
      </c>
      <c r="D299" s="87" t="s">
        <v>784</v>
      </c>
      <c r="E299" s="87" t="s">
        <v>370</v>
      </c>
      <c r="F299" s="315"/>
      <c r="G299" s="294"/>
      <c r="H299" s="283"/>
      <c r="I299" s="115">
        <v>4253</v>
      </c>
      <c r="J299" s="107" t="str">
        <f t="shared" si="95"/>
        <v>SPT18HPTM/MSPSA1GGIO2.Ind3</v>
      </c>
      <c r="K299" s="103" t="str">
        <f t="shared" si="98"/>
        <v>18HPTM</v>
      </c>
      <c r="L299" s="104" t="str">
        <f t="shared" si="98"/>
        <v>GGIO2</v>
      </c>
      <c r="M299" s="82" t="s">
        <v>40</v>
      </c>
      <c r="N299" s="82" t="str">
        <f t="shared" si="97"/>
        <v>MSPSA1</v>
      </c>
      <c r="O299" s="82"/>
      <c r="P299" s="98"/>
      <c r="Q299" s="82"/>
      <c r="R299" s="82"/>
      <c r="S299" s="82">
        <f t="shared" si="93"/>
        <v>158</v>
      </c>
      <c r="T299" s="82" t="str">
        <f t="shared" si="94"/>
        <v>lb_dd158</v>
      </c>
      <c r="U299" s="82"/>
      <c r="V299" s="82"/>
      <c r="W299" s="82"/>
      <c r="X299" s="82">
        <v>25</v>
      </c>
    </row>
    <row r="300" spans="1:24" x14ac:dyDescent="0.3">
      <c r="A300" s="302"/>
      <c r="B300" s="302"/>
      <c r="C300" s="87">
        <v>746</v>
      </c>
      <c r="D300" s="87" t="s">
        <v>786</v>
      </c>
      <c r="E300" s="87" t="s">
        <v>370</v>
      </c>
      <c r="F300" s="315"/>
      <c r="G300" s="294"/>
      <c r="H300" s="283"/>
      <c r="I300" s="115">
        <v>4254</v>
      </c>
      <c r="J300" s="107" t="str">
        <f t="shared" si="95"/>
        <v>SPT18HPTM/MSPSA1GGIO2.Ind4</v>
      </c>
      <c r="K300" s="103" t="str">
        <f t="shared" si="98"/>
        <v>18HPTM</v>
      </c>
      <c r="L300" s="104" t="str">
        <f t="shared" si="98"/>
        <v>GGIO2</v>
      </c>
      <c r="M300" s="82" t="s">
        <v>42</v>
      </c>
      <c r="N300" s="82" t="str">
        <f t="shared" si="97"/>
        <v>MSPSA1</v>
      </c>
      <c r="O300" s="82"/>
      <c r="P300" s="98"/>
      <c r="Q300" s="82"/>
      <c r="R300" s="82"/>
      <c r="S300" s="82">
        <f t="shared" si="93"/>
        <v>159</v>
      </c>
      <c r="T300" s="82" t="str">
        <f t="shared" si="94"/>
        <v>lb_dd159</v>
      </c>
      <c r="U300" s="82"/>
      <c r="V300" s="82"/>
      <c r="W300" s="82"/>
      <c r="X300" s="82">
        <v>26</v>
      </c>
    </row>
    <row r="301" spans="1:24" x14ac:dyDescent="0.3">
      <c r="A301" s="302"/>
      <c r="B301" s="302"/>
      <c r="C301" s="87">
        <v>747</v>
      </c>
      <c r="D301" s="87" t="s">
        <v>785</v>
      </c>
      <c r="E301" s="87" t="s">
        <v>370</v>
      </c>
      <c r="F301" s="315"/>
      <c r="G301" s="294"/>
      <c r="H301" s="283"/>
      <c r="I301" s="115">
        <v>4255</v>
      </c>
      <c r="J301" s="107" t="str">
        <f t="shared" si="95"/>
        <v>SPT18HPTM/MSPSA1GGIO2.Alm14</v>
      </c>
      <c r="K301" s="103" t="str">
        <f t="shared" si="98"/>
        <v>18HPTM</v>
      </c>
      <c r="L301" s="104" t="str">
        <f t="shared" si="98"/>
        <v>GGIO2</v>
      </c>
      <c r="M301" s="108" t="s">
        <v>222</v>
      </c>
      <c r="N301" s="82" t="str">
        <f t="shared" si="97"/>
        <v>MSPSA1</v>
      </c>
      <c r="O301" s="82"/>
      <c r="P301" s="98"/>
      <c r="Q301" s="82"/>
      <c r="R301" s="82"/>
      <c r="S301" s="82">
        <f t="shared" si="93"/>
        <v>160</v>
      </c>
      <c r="T301" s="82" t="str">
        <f t="shared" si="94"/>
        <v>lb_dd160</v>
      </c>
      <c r="U301" s="82"/>
      <c r="V301" s="82"/>
      <c r="W301" s="82"/>
      <c r="X301" s="82">
        <v>27</v>
      </c>
    </row>
    <row r="302" spans="1:24" x14ac:dyDescent="0.3">
      <c r="A302" s="302"/>
      <c r="B302" s="302"/>
      <c r="C302" s="87">
        <v>748</v>
      </c>
      <c r="D302" s="87" t="s">
        <v>787</v>
      </c>
      <c r="E302" s="87" t="s">
        <v>370</v>
      </c>
      <c r="F302" s="315"/>
      <c r="G302" s="294"/>
      <c r="H302" s="283"/>
      <c r="I302" s="115">
        <v>4256</v>
      </c>
      <c r="J302" s="107" t="str">
        <f t="shared" si="95"/>
        <v>SPT18HPTM/MSPSA1GGIO2.Alm15</v>
      </c>
      <c r="K302" s="103" t="str">
        <f t="shared" si="98"/>
        <v>18HPTM</v>
      </c>
      <c r="L302" s="104" t="str">
        <f t="shared" si="98"/>
        <v>GGIO2</v>
      </c>
      <c r="M302" s="108" t="s">
        <v>223</v>
      </c>
      <c r="N302" s="82" t="str">
        <f t="shared" si="97"/>
        <v>MSPSA1</v>
      </c>
      <c r="O302" s="82"/>
      <c r="P302" s="98"/>
      <c r="Q302" s="82"/>
      <c r="R302" s="82"/>
      <c r="S302" s="82">
        <f t="shared" si="93"/>
        <v>161</v>
      </c>
      <c r="T302" s="82" t="str">
        <f t="shared" si="94"/>
        <v>lb_dd161</v>
      </c>
      <c r="U302" s="82"/>
      <c r="V302" s="82"/>
      <c r="W302" s="82"/>
      <c r="X302" s="82">
        <v>28</v>
      </c>
    </row>
    <row r="303" spans="1:24" x14ac:dyDescent="0.3">
      <c r="A303" s="302"/>
      <c r="B303" s="302"/>
      <c r="C303" s="87">
        <v>749</v>
      </c>
      <c r="D303" s="87" t="s">
        <v>140</v>
      </c>
      <c r="E303" s="87" t="s">
        <v>370</v>
      </c>
      <c r="F303" s="315"/>
      <c r="G303" s="294"/>
      <c r="H303" s="283"/>
      <c r="I303" s="115">
        <v>4257</v>
      </c>
      <c r="J303" s="107" t="str">
        <f t="shared" si="95"/>
        <v>SPT18HPTM/MSPSA1GGIO2.Alm16</v>
      </c>
      <c r="K303" s="103" t="str">
        <f t="shared" si="98"/>
        <v>18HPTM</v>
      </c>
      <c r="L303" s="104" t="str">
        <f t="shared" si="98"/>
        <v>GGIO2</v>
      </c>
      <c r="M303" s="108" t="s">
        <v>224</v>
      </c>
      <c r="N303" s="82" t="str">
        <f t="shared" si="97"/>
        <v>MSPSA1</v>
      </c>
      <c r="O303" s="82"/>
      <c r="P303" s="98"/>
      <c r="Q303" s="82"/>
      <c r="R303" s="82"/>
      <c r="S303" s="82">
        <f t="shared" si="93"/>
        <v>162</v>
      </c>
      <c r="T303" s="82" t="str">
        <f t="shared" si="94"/>
        <v>lb_dd162</v>
      </c>
      <c r="U303" s="82"/>
      <c r="V303" s="82"/>
      <c r="W303" s="82"/>
      <c r="X303" s="82">
        <v>29</v>
      </c>
    </row>
    <row r="304" spans="1:24" x14ac:dyDescent="0.3">
      <c r="A304" s="302"/>
      <c r="B304" s="302"/>
      <c r="C304" s="87">
        <v>750</v>
      </c>
      <c r="D304" s="87" t="s">
        <v>788</v>
      </c>
      <c r="E304" s="87" t="s">
        <v>208</v>
      </c>
      <c r="F304" s="315"/>
      <c r="G304" s="294"/>
      <c r="H304" s="283"/>
      <c r="I304" s="115"/>
      <c r="J304" s="107"/>
      <c r="K304" s="103" t="str">
        <f t="shared" ref="K304:L304" si="99">K303</f>
        <v>18HPTM</v>
      </c>
      <c r="L304" s="104" t="str">
        <f t="shared" si="99"/>
        <v>GGIO2</v>
      </c>
      <c r="M304" s="108" t="s">
        <v>225</v>
      </c>
      <c r="N304" s="82" t="str">
        <f t="shared" si="97"/>
        <v>MSPSA1</v>
      </c>
      <c r="O304" s="82"/>
      <c r="P304" s="98"/>
      <c r="Q304" s="82"/>
      <c r="R304" s="82"/>
      <c r="S304" s="82"/>
      <c r="T304" s="82"/>
      <c r="U304" s="82"/>
      <c r="V304" s="82"/>
      <c r="W304" s="82"/>
      <c r="X304" s="82"/>
    </row>
    <row r="305" spans="1:24" x14ac:dyDescent="0.3">
      <c r="A305" s="302"/>
      <c r="B305" s="302"/>
      <c r="C305" s="87">
        <v>751</v>
      </c>
      <c r="D305" s="87" t="s">
        <v>789</v>
      </c>
      <c r="E305" s="87" t="s">
        <v>208</v>
      </c>
      <c r="F305" s="315"/>
      <c r="G305" s="294"/>
      <c r="H305" s="283"/>
      <c r="I305" s="115"/>
      <c r="J305" s="107"/>
      <c r="K305" s="103" t="str">
        <f t="shared" ref="K305:L305" si="100">K304</f>
        <v>18HPTM</v>
      </c>
      <c r="L305" s="104" t="str">
        <f t="shared" si="100"/>
        <v>GGIO2</v>
      </c>
      <c r="M305" s="108" t="s">
        <v>226</v>
      </c>
      <c r="N305" s="82" t="str">
        <f t="shared" si="97"/>
        <v>MSPSA1</v>
      </c>
      <c r="O305" s="82"/>
      <c r="P305" s="98"/>
      <c r="Q305" s="82"/>
      <c r="R305" s="82"/>
      <c r="S305" s="82"/>
      <c r="T305" s="82"/>
      <c r="U305" s="82"/>
      <c r="V305" s="82"/>
      <c r="W305" s="82"/>
      <c r="X305" s="82"/>
    </row>
    <row r="306" spans="1:24" x14ac:dyDescent="0.3">
      <c r="A306" s="302"/>
      <c r="B306" s="302"/>
      <c r="C306" s="87">
        <v>752</v>
      </c>
      <c r="D306" s="87" t="s">
        <v>790</v>
      </c>
      <c r="E306" s="87" t="s">
        <v>208</v>
      </c>
      <c r="F306" s="315"/>
      <c r="G306" s="294"/>
      <c r="H306" s="283"/>
      <c r="I306" s="115"/>
      <c r="J306" s="107"/>
      <c r="K306" s="103" t="str">
        <f t="shared" ref="K306:L306" si="101">K305</f>
        <v>18HPTM</v>
      </c>
      <c r="L306" s="104" t="str">
        <f t="shared" si="101"/>
        <v>GGIO2</v>
      </c>
      <c r="M306" s="108" t="s">
        <v>227</v>
      </c>
      <c r="N306" s="82" t="str">
        <f t="shared" si="97"/>
        <v>MSPSA1</v>
      </c>
      <c r="O306" s="82"/>
      <c r="P306" s="98"/>
      <c r="Q306" s="82"/>
      <c r="R306" s="82"/>
      <c r="S306" s="82"/>
      <c r="T306" s="82"/>
      <c r="U306" s="82"/>
      <c r="V306" s="82"/>
      <c r="W306" s="82"/>
      <c r="X306" s="82"/>
    </row>
    <row r="307" spans="1:24" x14ac:dyDescent="0.3">
      <c r="A307" s="313"/>
      <c r="B307" s="313"/>
      <c r="C307" s="87">
        <v>753</v>
      </c>
      <c r="D307" s="87" t="s">
        <v>554</v>
      </c>
      <c r="E307" s="87" t="s">
        <v>208</v>
      </c>
      <c r="F307" s="316"/>
      <c r="G307" s="286"/>
      <c r="H307" s="284"/>
      <c r="I307" s="115"/>
      <c r="J307" s="107"/>
      <c r="K307" s="103" t="str">
        <f t="shared" ref="K307:L307" si="102">K306</f>
        <v>18HPTM</v>
      </c>
      <c r="L307" s="104" t="str">
        <f t="shared" si="102"/>
        <v>GGIO2</v>
      </c>
      <c r="M307" s="108" t="s">
        <v>228</v>
      </c>
      <c r="N307" s="82" t="str">
        <f t="shared" si="97"/>
        <v>MSPSA1</v>
      </c>
      <c r="O307" s="82"/>
      <c r="P307" s="98"/>
      <c r="Q307" s="82"/>
      <c r="R307" s="82"/>
      <c r="S307" s="82"/>
      <c r="T307" s="82"/>
      <c r="U307" s="82"/>
      <c r="V307" s="82"/>
      <c r="W307" s="82"/>
      <c r="X307" s="82"/>
    </row>
    <row r="308" spans="1:24" x14ac:dyDescent="0.3">
      <c r="A308" s="264"/>
      <c r="B308" s="264"/>
      <c r="C308" s="264"/>
      <c r="D308" s="264"/>
      <c r="E308" s="264"/>
      <c r="F308" s="264"/>
      <c r="G308" s="264"/>
      <c r="H308" s="264"/>
      <c r="I308" s="264"/>
      <c r="J308" s="264"/>
      <c r="K308" s="111"/>
      <c r="L308" s="142"/>
      <c r="M308" s="142"/>
      <c r="N308" s="110"/>
      <c r="O308" s="110"/>
      <c r="P308" s="117"/>
      <c r="Q308" s="110"/>
      <c r="R308" s="110"/>
      <c r="S308" s="110"/>
      <c r="T308" s="110"/>
      <c r="U308" s="110"/>
      <c r="V308" s="110"/>
      <c r="W308" s="110"/>
      <c r="X308" s="110"/>
    </row>
    <row r="309" spans="1:24" x14ac:dyDescent="0.3">
      <c r="A309" s="442" t="s">
        <v>795</v>
      </c>
      <c r="B309" s="443"/>
      <c r="C309" s="443"/>
      <c r="D309" s="443"/>
      <c r="E309" s="443"/>
      <c r="F309" s="443"/>
      <c r="G309" s="443"/>
      <c r="H309" s="443"/>
      <c r="I309" s="443"/>
      <c r="J309" s="444"/>
      <c r="K309" s="103"/>
      <c r="L309" s="104"/>
      <c r="M309" s="82"/>
      <c r="N309" s="82"/>
      <c r="O309" s="82"/>
      <c r="P309" s="98"/>
      <c r="Q309" s="82"/>
      <c r="R309" s="82"/>
      <c r="S309" s="82"/>
      <c r="T309" s="82"/>
      <c r="U309" s="82"/>
      <c r="V309" s="82"/>
      <c r="W309" s="82"/>
      <c r="X309" s="82"/>
    </row>
    <row r="310" spans="1:24" x14ac:dyDescent="0.3">
      <c r="A310" s="268" t="s">
        <v>7</v>
      </c>
      <c r="B310" s="268" t="s">
        <v>3</v>
      </c>
      <c r="C310" s="128" t="s">
        <v>12</v>
      </c>
      <c r="D310" s="87" t="s">
        <v>529</v>
      </c>
      <c r="E310" s="91" t="s">
        <v>537</v>
      </c>
      <c r="F310" s="271" t="s">
        <v>30</v>
      </c>
      <c r="G310" s="269" t="s">
        <v>339</v>
      </c>
      <c r="H310" s="270" t="s">
        <v>3</v>
      </c>
      <c r="I310" s="115">
        <v>4229</v>
      </c>
      <c r="J310" s="107" t="str">
        <f>IF(OR(D310="",D310="-"),"",CONCATENATE("SPT",K310,"/",N310,L310,".",M310))</f>
        <v>SPT18HPTM/MSPSA3GGIO2.AnIn1</v>
      </c>
      <c r="K310" s="177" t="s">
        <v>793</v>
      </c>
      <c r="L310" s="178" t="s">
        <v>245</v>
      </c>
      <c r="M310" s="82" t="s">
        <v>51</v>
      </c>
      <c r="N310" s="179" t="s">
        <v>560</v>
      </c>
      <c r="O310" s="82"/>
      <c r="P310" s="98"/>
      <c r="Q310" s="82"/>
      <c r="R310" s="82"/>
      <c r="S310" s="82">
        <f t="shared" ref="S310:S338" si="103">I310-4095</f>
        <v>134</v>
      </c>
      <c r="T310" s="82" t="str">
        <f t="shared" ref="T310:T338" si="104">_xlfn.CONCAT($T$1,S310)</f>
        <v>lb_dd134</v>
      </c>
      <c r="U310" s="82"/>
      <c r="V310" s="82"/>
      <c r="W310" s="82"/>
      <c r="X310" s="82">
        <v>1</v>
      </c>
    </row>
    <row r="311" spans="1:24" x14ac:dyDescent="0.3">
      <c r="A311" s="268"/>
      <c r="B311" s="268"/>
      <c r="C311" s="128" t="s">
        <v>8</v>
      </c>
      <c r="D311" s="87" t="s">
        <v>530</v>
      </c>
      <c r="E311" s="87" t="s">
        <v>537</v>
      </c>
      <c r="F311" s="271"/>
      <c r="G311" s="269"/>
      <c r="H311" s="270"/>
      <c r="I311" s="115">
        <v>4230</v>
      </c>
      <c r="J311" s="107" t="str">
        <f t="shared" ref="J311:J338" si="105">IF(OR(D311="",D311="-"),"",CONCATENATE("SPT",K311,"/",N311,L311,".",M311))</f>
        <v>SPT18HPTM/MSPSA3GGIO2.AnIn2</v>
      </c>
      <c r="K311" s="103" t="str">
        <f>K310</f>
        <v>18HPTM</v>
      </c>
      <c r="L311" s="104" t="str">
        <f>L310</f>
        <v>GGIO2</v>
      </c>
      <c r="M311" s="82" t="s">
        <v>52</v>
      </c>
      <c r="N311" s="82" t="str">
        <f>N310</f>
        <v>MSPSA3</v>
      </c>
      <c r="O311" s="82"/>
      <c r="P311" s="98"/>
      <c r="Q311" s="82"/>
      <c r="R311" s="82"/>
      <c r="S311" s="82">
        <f t="shared" si="103"/>
        <v>135</v>
      </c>
      <c r="T311" s="82" t="str">
        <f t="shared" si="104"/>
        <v>lb_dd135</v>
      </c>
      <c r="U311" s="82"/>
      <c r="V311" s="82"/>
      <c r="W311" s="82"/>
      <c r="X311" s="82">
        <v>2</v>
      </c>
    </row>
    <row r="312" spans="1:24" x14ac:dyDescent="0.3">
      <c r="A312" s="268"/>
      <c r="B312" s="268"/>
      <c r="C312" s="128" t="s">
        <v>9</v>
      </c>
      <c r="D312" s="87" t="s">
        <v>531</v>
      </c>
      <c r="E312" s="87" t="s">
        <v>537</v>
      </c>
      <c r="F312" s="271"/>
      <c r="G312" s="269"/>
      <c r="H312" s="270"/>
      <c r="I312" s="115">
        <v>4231</v>
      </c>
      <c r="J312" s="107" t="str">
        <f t="shared" si="105"/>
        <v>SPT18HPTM/MSPSA3GGIO2.AnIn3</v>
      </c>
      <c r="K312" s="103" t="str">
        <f t="shared" ref="K312:L327" si="106">K311</f>
        <v>18HPTM</v>
      </c>
      <c r="L312" s="104" t="str">
        <f t="shared" si="106"/>
        <v>GGIO2</v>
      </c>
      <c r="M312" s="82" t="s">
        <v>53</v>
      </c>
      <c r="N312" s="82" t="str">
        <f t="shared" ref="N312:N338" si="107">N311</f>
        <v>MSPSA3</v>
      </c>
      <c r="O312" s="82"/>
      <c r="P312" s="98"/>
      <c r="Q312" s="82"/>
      <c r="R312" s="82"/>
      <c r="S312" s="82">
        <f t="shared" si="103"/>
        <v>136</v>
      </c>
      <c r="T312" s="82" t="str">
        <f t="shared" si="104"/>
        <v>lb_dd136</v>
      </c>
      <c r="U312" s="82"/>
      <c r="V312" s="82"/>
      <c r="W312" s="82"/>
      <c r="X312" s="82">
        <v>3</v>
      </c>
    </row>
    <row r="313" spans="1:24" x14ac:dyDescent="0.3">
      <c r="A313" s="268"/>
      <c r="B313" s="268"/>
      <c r="C313" s="128" t="s">
        <v>13</v>
      </c>
      <c r="D313" s="87" t="s">
        <v>202</v>
      </c>
      <c r="E313" s="87" t="s">
        <v>537</v>
      </c>
      <c r="F313" s="271"/>
      <c r="G313" s="269"/>
      <c r="H313" s="270"/>
      <c r="I313" s="115">
        <v>4232</v>
      </c>
      <c r="J313" s="107" t="str">
        <f t="shared" si="105"/>
        <v>SPT18HPTM/MSPSA3GGIO2.AnIn4</v>
      </c>
      <c r="K313" s="103" t="str">
        <f t="shared" si="106"/>
        <v>18HPTM</v>
      </c>
      <c r="L313" s="104" t="str">
        <f t="shared" si="106"/>
        <v>GGIO2</v>
      </c>
      <c r="M313" s="82" t="s">
        <v>54</v>
      </c>
      <c r="N313" s="82" t="str">
        <f t="shared" si="107"/>
        <v>MSPSA3</v>
      </c>
      <c r="O313" s="82"/>
      <c r="P313" s="98"/>
      <c r="Q313" s="82"/>
      <c r="R313" s="82"/>
      <c r="S313" s="82">
        <f t="shared" si="103"/>
        <v>137</v>
      </c>
      <c r="T313" s="82" t="str">
        <f t="shared" si="104"/>
        <v>lb_dd137</v>
      </c>
      <c r="U313" s="82"/>
      <c r="V313" s="82"/>
      <c r="W313" s="82"/>
      <c r="X313" s="82">
        <v>4</v>
      </c>
    </row>
    <row r="314" spans="1:24" x14ac:dyDescent="0.3">
      <c r="A314" s="268"/>
      <c r="B314" s="268"/>
      <c r="C314" s="128" t="s">
        <v>15</v>
      </c>
      <c r="D314" s="87" t="s">
        <v>532</v>
      </c>
      <c r="E314" s="87" t="s">
        <v>537</v>
      </c>
      <c r="F314" s="271"/>
      <c r="G314" s="269"/>
      <c r="H314" s="270"/>
      <c r="I314" s="115">
        <v>4233</v>
      </c>
      <c r="J314" s="107" t="str">
        <f t="shared" si="105"/>
        <v>SPT18HPTM/MSPSA3GGIO2.AnIn5</v>
      </c>
      <c r="K314" s="103" t="str">
        <f t="shared" si="106"/>
        <v>18HPTM</v>
      </c>
      <c r="L314" s="104" t="str">
        <f t="shared" si="106"/>
        <v>GGIO2</v>
      </c>
      <c r="M314" s="82" t="s">
        <v>77</v>
      </c>
      <c r="N314" s="82" t="str">
        <f t="shared" si="107"/>
        <v>MSPSA3</v>
      </c>
      <c r="O314" s="82"/>
      <c r="P314" s="98"/>
      <c r="Q314" s="82"/>
      <c r="R314" s="82"/>
      <c r="S314" s="82">
        <f t="shared" si="103"/>
        <v>138</v>
      </c>
      <c r="T314" s="82" t="str">
        <f t="shared" si="104"/>
        <v>lb_dd138</v>
      </c>
      <c r="U314" s="82"/>
      <c r="V314" s="82"/>
      <c r="W314" s="82"/>
      <c r="X314" s="82">
        <v>5</v>
      </c>
    </row>
    <row r="315" spans="1:24" x14ac:dyDescent="0.3">
      <c r="A315" s="268"/>
      <c r="B315" s="268"/>
      <c r="C315" s="128" t="s">
        <v>22</v>
      </c>
      <c r="D315" s="87" t="s">
        <v>533</v>
      </c>
      <c r="E315" s="87" t="s">
        <v>537</v>
      </c>
      <c r="F315" s="271"/>
      <c r="G315" s="269"/>
      <c r="H315" s="270"/>
      <c r="I315" s="115">
        <v>4234</v>
      </c>
      <c r="J315" s="107" t="str">
        <f t="shared" si="105"/>
        <v>SPT18HPTM/MSPSA3GGIO2.AnIn6</v>
      </c>
      <c r="K315" s="103" t="str">
        <f t="shared" si="106"/>
        <v>18HPTM</v>
      </c>
      <c r="L315" s="104" t="str">
        <f t="shared" si="106"/>
        <v>GGIO2</v>
      </c>
      <c r="M315" s="82" t="s">
        <v>556</v>
      </c>
      <c r="N315" s="82" t="str">
        <f t="shared" si="107"/>
        <v>MSPSA3</v>
      </c>
      <c r="O315" s="82"/>
      <c r="P315" s="98"/>
      <c r="Q315" s="82"/>
      <c r="R315" s="82"/>
      <c r="S315" s="82">
        <f t="shared" si="103"/>
        <v>139</v>
      </c>
      <c r="T315" s="82" t="str">
        <f t="shared" si="104"/>
        <v>lb_dd139</v>
      </c>
      <c r="U315" s="82"/>
      <c r="V315" s="82"/>
      <c r="W315" s="82"/>
      <c r="X315" s="82">
        <v>6</v>
      </c>
    </row>
    <row r="316" spans="1:24" x14ac:dyDescent="0.3">
      <c r="A316" s="268"/>
      <c r="B316" s="268"/>
      <c r="C316" s="128" t="s">
        <v>23</v>
      </c>
      <c r="D316" s="87" t="s">
        <v>534</v>
      </c>
      <c r="E316" s="87" t="s">
        <v>537</v>
      </c>
      <c r="F316" s="271"/>
      <c r="G316" s="269"/>
      <c r="H316" s="270"/>
      <c r="I316" s="115">
        <v>4235</v>
      </c>
      <c r="J316" s="107" t="str">
        <f t="shared" si="105"/>
        <v>SPT18HPTM/MSPSA3GGIO2.AnIn7</v>
      </c>
      <c r="K316" s="103" t="str">
        <f t="shared" si="106"/>
        <v>18HPTM</v>
      </c>
      <c r="L316" s="104" t="str">
        <f t="shared" si="106"/>
        <v>GGIO2</v>
      </c>
      <c r="M316" s="82" t="s">
        <v>557</v>
      </c>
      <c r="N316" s="82" t="str">
        <f t="shared" si="107"/>
        <v>MSPSA3</v>
      </c>
      <c r="O316" s="82"/>
      <c r="P316" s="98"/>
      <c r="Q316" s="82"/>
      <c r="R316" s="82"/>
      <c r="S316" s="82">
        <f t="shared" si="103"/>
        <v>140</v>
      </c>
      <c r="T316" s="82" t="str">
        <f t="shared" si="104"/>
        <v>lb_dd140</v>
      </c>
      <c r="U316" s="82"/>
      <c r="V316" s="82"/>
      <c r="W316" s="82"/>
      <c r="X316" s="82">
        <v>7</v>
      </c>
    </row>
    <row r="317" spans="1:24" x14ac:dyDescent="0.3">
      <c r="A317" s="268"/>
      <c r="B317" s="268"/>
      <c r="C317" s="128" t="s">
        <v>24</v>
      </c>
      <c r="D317" s="87" t="s">
        <v>535</v>
      </c>
      <c r="E317" s="87" t="s">
        <v>537</v>
      </c>
      <c r="F317" s="271"/>
      <c r="G317" s="269"/>
      <c r="H317" s="270"/>
      <c r="I317" s="115">
        <v>4236</v>
      </c>
      <c r="J317" s="107" t="str">
        <f t="shared" si="105"/>
        <v>SPT18HPTM/MSPSA3GGIO2.AnIn8</v>
      </c>
      <c r="K317" s="103" t="str">
        <f t="shared" si="106"/>
        <v>18HPTM</v>
      </c>
      <c r="L317" s="104" t="str">
        <f t="shared" si="106"/>
        <v>GGIO2</v>
      </c>
      <c r="M317" s="82" t="s">
        <v>558</v>
      </c>
      <c r="N317" s="82" t="str">
        <f t="shared" si="107"/>
        <v>MSPSA3</v>
      </c>
      <c r="O317" s="82"/>
      <c r="P317" s="98"/>
      <c r="Q317" s="82"/>
      <c r="R317" s="82"/>
      <c r="S317" s="82">
        <f t="shared" si="103"/>
        <v>141</v>
      </c>
      <c r="T317" s="82" t="str">
        <f t="shared" si="104"/>
        <v>lb_dd141</v>
      </c>
      <c r="U317" s="82"/>
      <c r="V317" s="82"/>
      <c r="W317" s="82"/>
      <c r="X317" s="82">
        <v>8</v>
      </c>
    </row>
    <row r="318" spans="1:24" x14ac:dyDescent="0.3">
      <c r="A318" s="268"/>
      <c r="B318" s="268"/>
      <c r="C318" s="128" t="s">
        <v>31</v>
      </c>
      <c r="D318" s="87" t="s">
        <v>536</v>
      </c>
      <c r="E318" s="87" t="s">
        <v>537</v>
      </c>
      <c r="F318" s="271"/>
      <c r="G318" s="269"/>
      <c r="H318" s="270"/>
      <c r="I318" s="115">
        <v>4237</v>
      </c>
      <c r="J318" s="107" t="str">
        <f t="shared" si="105"/>
        <v>SPT18HPTM/MSPSA3GGIO2.AnIn9</v>
      </c>
      <c r="K318" s="103" t="str">
        <f t="shared" si="106"/>
        <v>18HPTM</v>
      </c>
      <c r="L318" s="104" t="str">
        <f t="shared" si="106"/>
        <v>GGIO2</v>
      </c>
      <c r="M318" s="82" t="s">
        <v>559</v>
      </c>
      <c r="N318" s="82" t="str">
        <f t="shared" si="107"/>
        <v>MSPSA3</v>
      </c>
      <c r="O318" s="82"/>
      <c r="P318" s="98"/>
      <c r="Q318" s="82"/>
      <c r="R318" s="82"/>
      <c r="S318" s="82">
        <f t="shared" si="103"/>
        <v>142</v>
      </c>
      <c r="T318" s="82" t="str">
        <f t="shared" si="104"/>
        <v>lb_dd142</v>
      </c>
      <c r="U318" s="82"/>
      <c r="V318" s="82"/>
      <c r="W318" s="82"/>
      <c r="X318" s="82">
        <v>9</v>
      </c>
    </row>
    <row r="319" spans="1:24" x14ac:dyDescent="0.3">
      <c r="A319" s="268"/>
      <c r="B319" s="268"/>
      <c r="C319" s="87">
        <v>512</v>
      </c>
      <c r="D319" s="87" t="s">
        <v>540</v>
      </c>
      <c r="E319" s="87" t="s">
        <v>208</v>
      </c>
      <c r="F319" s="271" t="s">
        <v>28</v>
      </c>
      <c r="G319" s="269"/>
      <c r="H319" s="270" t="s">
        <v>59</v>
      </c>
      <c r="I319" s="115">
        <v>4238</v>
      </c>
      <c r="J319" s="107" t="str">
        <f t="shared" si="105"/>
        <v>SPT18HPTM/MSPSA3GGIO2.Alm1</v>
      </c>
      <c r="K319" s="103" t="str">
        <f t="shared" si="106"/>
        <v>18HPTM</v>
      </c>
      <c r="L319" s="104" t="str">
        <f t="shared" si="106"/>
        <v>GGIO2</v>
      </c>
      <c r="M319" s="108" t="s">
        <v>37</v>
      </c>
      <c r="N319" s="82" t="str">
        <f t="shared" si="107"/>
        <v>MSPSA3</v>
      </c>
      <c r="O319" s="82"/>
      <c r="P319" s="98"/>
      <c r="Q319" s="82"/>
      <c r="R319" s="82"/>
      <c r="S319" s="82">
        <f t="shared" si="103"/>
        <v>143</v>
      </c>
      <c r="T319" s="82" t="str">
        <f t="shared" si="104"/>
        <v>lb_dd143</v>
      </c>
      <c r="U319" s="82"/>
      <c r="V319" s="82"/>
      <c r="W319" s="82"/>
      <c r="X319" s="82">
        <v>10</v>
      </c>
    </row>
    <row r="320" spans="1:24" x14ac:dyDescent="0.3">
      <c r="A320" s="268"/>
      <c r="B320" s="268"/>
      <c r="C320" s="87">
        <v>513</v>
      </c>
      <c r="D320" s="87" t="s">
        <v>541</v>
      </c>
      <c r="E320" s="87" t="s">
        <v>208</v>
      </c>
      <c r="F320" s="271"/>
      <c r="G320" s="269"/>
      <c r="H320" s="270"/>
      <c r="I320" s="115">
        <v>4239</v>
      </c>
      <c r="J320" s="107" t="str">
        <f t="shared" si="105"/>
        <v>SPT18HPTM/MSPSA3GGIO2.Alm2</v>
      </c>
      <c r="K320" s="103" t="str">
        <f t="shared" si="106"/>
        <v>18HPTM</v>
      </c>
      <c r="L320" s="104" t="str">
        <f t="shared" si="106"/>
        <v>GGIO2</v>
      </c>
      <c r="M320" s="108" t="s">
        <v>39</v>
      </c>
      <c r="N320" s="82" t="str">
        <f t="shared" si="107"/>
        <v>MSPSA3</v>
      </c>
      <c r="O320" s="82"/>
      <c r="P320" s="98"/>
      <c r="Q320" s="82"/>
      <c r="R320" s="82"/>
      <c r="S320" s="82">
        <f t="shared" si="103"/>
        <v>144</v>
      </c>
      <c r="T320" s="82" t="str">
        <f t="shared" si="104"/>
        <v>lb_dd144</v>
      </c>
      <c r="U320" s="82"/>
      <c r="V320" s="82"/>
      <c r="W320" s="82"/>
      <c r="X320" s="82">
        <v>11</v>
      </c>
    </row>
    <row r="321" spans="1:24" x14ac:dyDescent="0.3">
      <c r="A321" s="268"/>
      <c r="B321" s="268"/>
      <c r="C321" s="87">
        <v>514</v>
      </c>
      <c r="D321" s="87" t="s">
        <v>542</v>
      </c>
      <c r="E321" s="87" t="s">
        <v>208</v>
      </c>
      <c r="F321" s="271"/>
      <c r="G321" s="269"/>
      <c r="H321" s="270"/>
      <c r="I321" s="115">
        <v>4240</v>
      </c>
      <c r="J321" s="107" t="str">
        <f t="shared" si="105"/>
        <v>SPT18HPTM/MSPSA3GGIO2.Alm3</v>
      </c>
      <c r="K321" s="103" t="str">
        <f t="shared" si="106"/>
        <v>18HPTM</v>
      </c>
      <c r="L321" s="104" t="str">
        <f t="shared" si="106"/>
        <v>GGIO2</v>
      </c>
      <c r="M321" s="108" t="s">
        <v>41</v>
      </c>
      <c r="N321" s="82" t="str">
        <f t="shared" si="107"/>
        <v>MSPSA3</v>
      </c>
      <c r="O321" s="82"/>
      <c r="P321" s="98"/>
      <c r="Q321" s="82"/>
      <c r="R321" s="82"/>
      <c r="S321" s="82">
        <f t="shared" si="103"/>
        <v>145</v>
      </c>
      <c r="T321" s="82" t="str">
        <f t="shared" si="104"/>
        <v>lb_dd145</v>
      </c>
      <c r="U321" s="82"/>
      <c r="V321" s="82"/>
      <c r="W321" s="82"/>
      <c r="X321" s="82">
        <v>12</v>
      </c>
    </row>
    <row r="322" spans="1:24" x14ac:dyDescent="0.3">
      <c r="A322" s="268"/>
      <c r="B322" s="268"/>
      <c r="C322" s="87">
        <v>515</v>
      </c>
      <c r="D322" s="87" t="s">
        <v>543</v>
      </c>
      <c r="E322" s="87" t="s">
        <v>208</v>
      </c>
      <c r="F322" s="271"/>
      <c r="G322" s="269"/>
      <c r="H322" s="270"/>
      <c r="I322" s="115">
        <v>4241</v>
      </c>
      <c r="J322" s="107" t="str">
        <f t="shared" si="105"/>
        <v>SPT18HPTM/MSPSA3GGIO2.Alm4</v>
      </c>
      <c r="K322" s="103" t="str">
        <f t="shared" si="106"/>
        <v>18HPTM</v>
      </c>
      <c r="L322" s="104" t="str">
        <f t="shared" si="106"/>
        <v>GGIO2</v>
      </c>
      <c r="M322" s="108" t="s">
        <v>43</v>
      </c>
      <c r="N322" s="82" t="str">
        <f t="shared" si="107"/>
        <v>MSPSA3</v>
      </c>
      <c r="O322" s="82"/>
      <c r="P322" s="98"/>
      <c r="Q322" s="82"/>
      <c r="R322" s="82"/>
      <c r="S322" s="82">
        <f t="shared" si="103"/>
        <v>146</v>
      </c>
      <c r="T322" s="82" t="str">
        <f t="shared" si="104"/>
        <v>lb_dd146</v>
      </c>
      <c r="U322" s="82"/>
      <c r="V322" s="82"/>
      <c r="W322" s="82"/>
      <c r="X322" s="82">
        <v>13</v>
      </c>
    </row>
    <row r="323" spans="1:24" x14ac:dyDescent="0.3">
      <c r="A323" s="268"/>
      <c r="B323" s="268"/>
      <c r="C323" s="87">
        <v>517</v>
      </c>
      <c r="D323" s="87" t="s">
        <v>202</v>
      </c>
      <c r="E323" s="87" t="s">
        <v>208</v>
      </c>
      <c r="F323" s="271"/>
      <c r="G323" s="269"/>
      <c r="H323" s="270"/>
      <c r="I323" s="115">
        <v>4242</v>
      </c>
      <c r="J323" s="107" t="str">
        <f t="shared" si="105"/>
        <v>SPT18HPTM/MSPSA3GGIO2.Alm5</v>
      </c>
      <c r="K323" s="103" t="str">
        <f t="shared" si="106"/>
        <v>18HPTM</v>
      </c>
      <c r="L323" s="104" t="str">
        <f t="shared" si="106"/>
        <v>GGIO2</v>
      </c>
      <c r="M323" s="108" t="s">
        <v>45</v>
      </c>
      <c r="N323" s="82" t="str">
        <f t="shared" si="107"/>
        <v>MSPSA3</v>
      </c>
      <c r="O323" s="82"/>
      <c r="P323" s="98"/>
      <c r="Q323" s="82"/>
      <c r="R323" s="82"/>
      <c r="S323" s="82">
        <f t="shared" si="103"/>
        <v>147</v>
      </c>
      <c r="T323" s="82" t="str">
        <f t="shared" si="104"/>
        <v>lb_dd147</v>
      </c>
      <c r="U323" s="82"/>
      <c r="V323" s="82"/>
      <c r="W323" s="82"/>
      <c r="X323" s="82">
        <v>14</v>
      </c>
    </row>
    <row r="324" spans="1:24" x14ac:dyDescent="0.3">
      <c r="A324" s="268"/>
      <c r="B324" s="268"/>
      <c r="C324" s="87">
        <v>518</v>
      </c>
      <c r="D324" s="87" t="s">
        <v>544</v>
      </c>
      <c r="E324" s="87" t="s">
        <v>208</v>
      </c>
      <c r="F324" s="271"/>
      <c r="G324" s="269"/>
      <c r="H324" s="270"/>
      <c r="I324" s="115">
        <v>4243</v>
      </c>
      <c r="J324" s="107" t="str">
        <f t="shared" si="105"/>
        <v>SPT18HPTM/MSPSA3GGIO2.Alm6</v>
      </c>
      <c r="K324" s="103" t="str">
        <f t="shared" si="106"/>
        <v>18HPTM</v>
      </c>
      <c r="L324" s="104" t="str">
        <f t="shared" si="106"/>
        <v>GGIO2</v>
      </c>
      <c r="M324" s="108" t="s">
        <v>47</v>
      </c>
      <c r="N324" s="82" t="str">
        <f t="shared" si="107"/>
        <v>MSPSA3</v>
      </c>
      <c r="O324" s="82"/>
      <c r="P324" s="98"/>
      <c r="Q324" s="82"/>
      <c r="R324" s="82"/>
      <c r="S324" s="82">
        <f t="shared" si="103"/>
        <v>148</v>
      </c>
      <c r="T324" s="82" t="str">
        <f t="shared" si="104"/>
        <v>lb_dd148</v>
      </c>
      <c r="U324" s="82"/>
      <c r="V324" s="82"/>
      <c r="W324" s="82"/>
      <c r="X324" s="82">
        <v>15</v>
      </c>
    </row>
    <row r="325" spans="1:24" ht="24" x14ac:dyDescent="0.3">
      <c r="A325" s="268"/>
      <c r="B325" s="268"/>
      <c r="C325" s="87">
        <v>519</v>
      </c>
      <c r="D325" s="87" t="s">
        <v>545</v>
      </c>
      <c r="E325" s="87" t="s">
        <v>555</v>
      </c>
      <c r="F325" s="271"/>
      <c r="G325" s="269"/>
      <c r="H325" s="270"/>
      <c r="I325" s="115">
        <v>4244</v>
      </c>
      <c r="J325" s="107" t="str">
        <f t="shared" si="105"/>
        <v>SPT18HPTM/MSPSA3GGIO2.Ind1</v>
      </c>
      <c r="K325" s="103" t="str">
        <f t="shared" si="106"/>
        <v>18HPTM</v>
      </c>
      <c r="L325" s="104" t="str">
        <f t="shared" si="106"/>
        <v>GGIO2</v>
      </c>
      <c r="M325" s="82" t="s">
        <v>36</v>
      </c>
      <c r="N325" s="82" t="str">
        <f t="shared" si="107"/>
        <v>MSPSA3</v>
      </c>
      <c r="O325" s="82"/>
      <c r="P325" s="98"/>
      <c r="Q325" s="82"/>
      <c r="R325" s="82"/>
      <c r="S325" s="82">
        <f t="shared" si="103"/>
        <v>149</v>
      </c>
      <c r="T325" s="82" t="str">
        <f t="shared" si="104"/>
        <v>lb_dd149</v>
      </c>
      <c r="U325" s="82"/>
      <c r="V325" s="82"/>
      <c r="W325" s="82"/>
      <c r="X325" s="82">
        <v>16</v>
      </c>
    </row>
    <row r="326" spans="1:24" x14ac:dyDescent="0.3">
      <c r="A326" s="268"/>
      <c r="B326" s="268"/>
      <c r="C326" s="87">
        <v>528</v>
      </c>
      <c r="D326" s="87" t="s">
        <v>546</v>
      </c>
      <c r="E326" s="87" t="s">
        <v>208</v>
      </c>
      <c r="F326" s="271"/>
      <c r="G326" s="269"/>
      <c r="H326" s="270"/>
      <c r="I326" s="115">
        <v>4245</v>
      </c>
      <c r="J326" s="107" t="str">
        <f t="shared" si="105"/>
        <v>SPT18HPTM/MSPSA3GGIO2.Alm7</v>
      </c>
      <c r="K326" s="103" t="str">
        <f t="shared" si="106"/>
        <v>18HPTM</v>
      </c>
      <c r="L326" s="104" t="str">
        <f t="shared" si="106"/>
        <v>GGIO2</v>
      </c>
      <c r="M326" s="108" t="s">
        <v>49</v>
      </c>
      <c r="N326" s="82" t="str">
        <f t="shared" si="107"/>
        <v>MSPSA3</v>
      </c>
      <c r="O326" s="82"/>
      <c r="P326" s="98"/>
      <c r="Q326" s="82"/>
      <c r="R326" s="82"/>
      <c r="S326" s="82">
        <f t="shared" si="103"/>
        <v>150</v>
      </c>
      <c r="T326" s="82" t="str">
        <f t="shared" si="104"/>
        <v>lb_dd150</v>
      </c>
      <c r="U326" s="82"/>
      <c r="V326" s="82"/>
      <c r="W326" s="82"/>
      <c r="X326" s="82">
        <v>17</v>
      </c>
    </row>
    <row r="327" spans="1:24" x14ac:dyDescent="0.3">
      <c r="A327" s="268"/>
      <c r="B327" s="268"/>
      <c r="C327" s="87">
        <v>529</v>
      </c>
      <c r="D327" s="87" t="s">
        <v>547</v>
      </c>
      <c r="E327" s="87" t="s">
        <v>208</v>
      </c>
      <c r="F327" s="271"/>
      <c r="G327" s="269"/>
      <c r="H327" s="270"/>
      <c r="I327" s="115">
        <v>4246</v>
      </c>
      <c r="J327" s="107" t="str">
        <f t="shared" si="105"/>
        <v>SPT18HPTM/MSPSA3GGIO2.Alm8</v>
      </c>
      <c r="K327" s="103" t="str">
        <f t="shared" si="106"/>
        <v>18HPTM</v>
      </c>
      <c r="L327" s="104" t="str">
        <f t="shared" si="106"/>
        <v>GGIO2</v>
      </c>
      <c r="M327" s="108" t="s">
        <v>56</v>
      </c>
      <c r="N327" s="82" t="str">
        <f t="shared" si="107"/>
        <v>MSPSA3</v>
      </c>
      <c r="O327" s="82"/>
      <c r="P327" s="98"/>
      <c r="Q327" s="82"/>
      <c r="R327" s="82"/>
      <c r="S327" s="82">
        <f t="shared" si="103"/>
        <v>151</v>
      </c>
      <c r="T327" s="82" t="str">
        <f t="shared" si="104"/>
        <v>lb_dd151</v>
      </c>
      <c r="U327" s="82"/>
      <c r="V327" s="82"/>
      <c r="W327" s="82"/>
      <c r="X327" s="82">
        <v>18</v>
      </c>
    </row>
    <row r="328" spans="1:24" x14ac:dyDescent="0.3">
      <c r="A328" s="268"/>
      <c r="B328" s="268"/>
      <c r="C328" s="87">
        <v>530</v>
      </c>
      <c r="D328" s="87" t="s">
        <v>137</v>
      </c>
      <c r="E328" s="87" t="s">
        <v>208</v>
      </c>
      <c r="F328" s="271"/>
      <c r="G328" s="269"/>
      <c r="H328" s="270"/>
      <c r="I328" s="115">
        <v>4247</v>
      </c>
      <c r="J328" s="107" t="str">
        <f t="shared" si="105"/>
        <v>SPT18HPTM/MSPSA3GGIO2.Alm9</v>
      </c>
      <c r="K328" s="103" t="str">
        <f t="shared" ref="K328:L338" si="108">K327</f>
        <v>18HPTM</v>
      </c>
      <c r="L328" s="104" t="str">
        <f t="shared" si="108"/>
        <v>GGIO2</v>
      </c>
      <c r="M328" s="108" t="s">
        <v>217</v>
      </c>
      <c r="N328" s="82" t="str">
        <f t="shared" si="107"/>
        <v>MSPSA3</v>
      </c>
      <c r="O328" s="82"/>
      <c r="P328" s="98"/>
      <c r="Q328" s="82"/>
      <c r="R328" s="82"/>
      <c r="S328" s="82">
        <f t="shared" si="103"/>
        <v>152</v>
      </c>
      <c r="T328" s="82" t="str">
        <f t="shared" si="104"/>
        <v>lb_dd152</v>
      </c>
      <c r="U328" s="82"/>
      <c r="V328" s="82"/>
      <c r="W328" s="82"/>
      <c r="X328" s="82">
        <v>19</v>
      </c>
    </row>
    <row r="329" spans="1:24" ht="24" x14ac:dyDescent="0.3">
      <c r="A329" s="268"/>
      <c r="B329" s="268"/>
      <c r="C329" s="87">
        <v>536</v>
      </c>
      <c r="D329" s="87" t="s">
        <v>548</v>
      </c>
      <c r="E329" s="87" t="s">
        <v>208</v>
      </c>
      <c r="F329" s="271"/>
      <c r="G329" s="269"/>
      <c r="H329" s="270"/>
      <c r="I329" s="115">
        <v>4248</v>
      </c>
      <c r="J329" s="107" t="str">
        <f t="shared" si="105"/>
        <v>SPT18HPTM/MSPSA3GGIO2.Alm10</v>
      </c>
      <c r="K329" s="103" t="str">
        <f t="shared" si="108"/>
        <v>18HPTM</v>
      </c>
      <c r="L329" s="104" t="str">
        <f t="shared" si="108"/>
        <v>GGIO2</v>
      </c>
      <c r="M329" s="108" t="s">
        <v>218</v>
      </c>
      <c r="N329" s="82" t="str">
        <f t="shared" si="107"/>
        <v>MSPSA3</v>
      </c>
      <c r="O329" s="82"/>
      <c r="P329" s="98"/>
      <c r="Q329" s="82"/>
      <c r="R329" s="82"/>
      <c r="S329" s="82">
        <f t="shared" si="103"/>
        <v>153</v>
      </c>
      <c r="T329" s="82" t="str">
        <f t="shared" si="104"/>
        <v>lb_dd153</v>
      </c>
      <c r="U329" s="82"/>
      <c r="V329" s="82"/>
      <c r="W329" s="82"/>
      <c r="X329" s="82">
        <v>20</v>
      </c>
    </row>
    <row r="330" spans="1:24" ht="24" x14ac:dyDescent="0.3">
      <c r="A330" s="268"/>
      <c r="B330" s="268"/>
      <c r="C330" s="87">
        <v>537</v>
      </c>
      <c r="D330" s="87" t="s">
        <v>549</v>
      </c>
      <c r="E330" s="87" t="s">
        <v>208</v>
      </c>
      <c r="F330" s="271"/>
      <c r="G330" s="269"/>
      <c r="H330" s="270"/>
      <c r="I330" s="115">
        <v>4249</v>
      </c>
      <c r="J330" s="107" t="str">
        <f t="shared" si="105"/>
        <v>SPT18HPTM/MSPSA3GGIO2.Alm11</v>
      </c>
      <c r="K330" s="103" t="str">
        <f t="shared" si="108"/>
        <v>18HPTM</v>
      </c>
      <c r="L330" s="104" t="str">
        <f t="shared" si="108"/>
        <v>GGIO2</v>
      </c>
      <c r="M330" s="108" t="s">
        <v>219</v>
      </c>
      <c r="N330" s="82" t="str">
        <f t="shared" si="107"/>
        <v>MSPSA3</v>
      </c>
      <c r="O330" s="82"/>
      <c r="P330" s="98"/>
      <c r="Q330" s="82"/>
      <c r="R330" s="82"/>
      <c r="S330" s="82">
        <f t="shared" si="103"/>
        <v>154</v>
      </c>
      <c r="T330" s="82" t="str">
        <f t="shared" si="104"/>
        <v>lb_dd154</v>
      </c>
      <c r="U330" s="82"/>
      <c r="V330" s="82"/>
      <c r="W330" s="82"/>
      <c r="X330" s="82">
        <v>21</v>
      </c>
    </row>
    <row r="331" spans="1:24" ht="24" x14ac:dyDescent="0.3">
      <c r="A331" s="268"/>
      <c r="B331" s="268"/>
      <c r="C331" s="87">
        <v>538</v>
      </c>
      <c r="D331" s="87" t="s">
        <v>550</v>
      </c>
      <c r="E331" s="87" t="s">
        <v>208</v>
      </c>
      <c r="F331" s="271"/>
      <c r="G331" s="269"/>
      <c r="H331" s="270"/>
      <c r="I331" s="115">
        <v>4250</v>
      </c>
      <c r="J331" s="107" t="str">
        <f t="shared" si="105"/>
        <v>SPT18HPTM/MSPSA3GGIO2.Alm12</v>
      </c>
      <c r="K331" s="103" t="str">
        <f t="shared" si="108"/>
        <v>18HPTM</v>
      </c>
      <c r="L331" s="104" t="str">
        <f t="shared" si="108"/>
        <v>GGIO2</v>
      </c>
      <c r="M331" s="108" t="s">
        <v>220</v>
      </c>
      <c r="N331" s="82" t="str">
        <f t="shared" si="107"/>
        <v>MSPSA3</v>
      </c>
      <c r="O331" s="82"/>
      <c r="P331" s="98"/>
      <c r="Q331" s="82"/>
      <c r="R331" s="82"/>
      <c r="S331" s="82">
        <f t="shared" si="103"/>
        <v>155</v>
      </c>
      <c r="T331" s="82" t="str">
        <f t="shared" si="104"/>
        <v>lb_dd155</v>
      </c>
      <c r="U331" s="82"/>
      <c r="V331" s="82"/>
      <c r="W331" s="82"/>
      <c r="X331" s="82">
        <v>22</v>
      </c>
    </row>
    <row r="332" spans="1:24" x14ac:dyDescent="0.3">
      <c r="A332" s="268"/>
      <c r="B332" s="268"/>
      <c r="C332" s="87">
        <v>568</v>
      </c>
      <c r="D332" s="87" t="s">
        <v>551</v>
      </c>
      <c r="E332" s="87" t="s">
        <v>208</v>
      </c>
      <c r="F332" s="271"/>
      <c r="G332" s="269"/>
      <c r="H332" s="270"/>
      <c r="I332" s="115">
        <v>4251</v>
      </c>
      <c r="J332" s="107" t="str">
        <f t="shared" si="105"/>
        <v>SPT18HPTM/MSPSA3GGIO2.Alm13</v>
      </c>
      <c r="K332" s="103" t="str">
        <f t="shared" si="108"/>
        <v>18HPTM</v>
      </c>
      <c r="L332" s="104" t="str">
        <f t="shared" si="108"/>
        <v>GGIO2</v>
      </c>
      <c r="M332" s="108" t="s">
        <v>221</v>
      </c>
      <c r="N332" s="82" t="str">
        <f t="shared" si="107"/>
        <v>MSPSA3</v>
      </c>
      <c r="O332" s="82"/>
      <c r="P332" s="98"/>
      <c r="Q332" s="82"/>
      <c r="R332" s="82"/>
      <c r="S332" s="82">
        <f t="shared" si="103"/>
        <v>156</v>
      </c>
      <c r="T332" s="82" t="str">
        <f t="shared" si="104"/>
        <v>lb_dd156</v>
      </c>
      <c r="U332" s="82"/>
      <c r="V332" s="82"/>
      <c r="W332" s="82"/>
      <c r="X332" s="82">
        <v>23</v>
      </c>
    </row>
    <row r="333" spans="1:24" x14ac:dyDescent="0.3">
      <c r="A333" s="268"/>
      <c r="B333" s="268"/>
      <c r="C333" s="87">
        <v>744</v>
      </c>
      <c r="D333" s="87" t="s">
        <v>496</v>
      </c>
      <c r="E333" s="87" t="s">
        <v>370</v>
      </c>
      <c r="F333" s="271"/>
      <c r="G333" s="269"/>
      <c r="H333" s="270"/>
      <c r="I333" s="115">
        <v>4252</v>
      </c>
      <c r="J333" s="107" t="str">
        <f t="shared" si="105"/>
        <v>SPT18HPTM/MSPSA3GGIO2.Ind2</v>
      </c>
      <c r="K333" s="103" t="str">
        <f t="shared" si="108"/>
        <v>18HPTM</v>
      </c>
      <c r="L333" s="104" t="str">
        <f t="shared" si="108"/>
        <v>GGIO2</v>
      </c>
      <c r="M333" s="82" t="s">
        <v>38</v>
      </c>
      <c r="N333" s="82" t="str">
        <f t="shared" si="107"/>
        <v>MSPSA3</v>
      </c>
      <c r="O333" s="82"/>
      <c r="P333" s="98"/>
      <c r="Q333" s="82"/>
      <c r="R333" s="82"/>
      <c r="S333" s="82">
        <f t="shared" si="103"/>
        <v>157</v>
      </c>
      <c r="T333" s="82" t="str">
        <f t="shared" si="104"/>
        <v>lb_dd157</v>
      </c>
      <c r="U333" s="82"/>
      <c r="V333" s="82"/>
      <c r="W333" s="82"/>
      <c r="X333" s="82">
        <v>24</v>
      </c>
    </row>
    <row r="334" spans="1:24" x14ac:dyDescent="0.3">
      <c r="A334" s="268"/>
      <c r="B334" s="268"/>
      <c r="C334" s="87">
        <v>745</v>
      </c>
      <c r="D334" s="87" t="s">
        <v>497</v>
      </c>
      <c r="E334" s="87" t="s">
        <v>370</v>
      </c>
      <c r="F334" s="271"/>
      <c r="G334" s="269"/>
      <c r="H334" s="270"/>
      <c r="I334" s="115">
        <v>4253</v>
      </c>
      <c r="J334" s="107" t="str">
        <f t="shared" si="105"/>
        <v>SPT18HPTM/MSPSA3GGIO2.Ind3</v>
      </c>
      <c r="K334" s="103" t="str">
        <f t="shared" si="108"/>
        <v>18HPTM</v>
      </c>
      <c r="L334" s="104" t="str">
        <f t="shared" si="108"/>
        <v>GGIO2</v>
      </c>
      <c r="M334" s="82" t="s">
        <v>40</v>
      </c>
      <c r="N334" s="82" t="str">
        <f t="shared" si="107"/>
        <v>MSPSA3</v>
      </c>
      <c r="O334" s="82"/>
      <c r="P334" s="98"/>
      <c r="Q334" s="82"/>
      <c r="R334" s="82"/>
      <c r="S334" s="82">
        <f t="shared" si="103"/>
        <v>158</v>
      </c>
      <c r="T334" s="82" t="str">
        <f t="shared" si="104"/>
        <v>lb_dd158</v>
      </c>
      <c r="U334" s="82"/>
      <c r="V334" s="82"/>
      <c r="W334" s="82"/>
      <c r="X334" s="82">
        <v>25</v>
      </c>
    </row>
    <row r="335" spans="1:24" x14ac:dyDescent="0.3">
      <c r="A335" s="268"/>
      <c r="B335" s="268"/>
      <c r="C335" s="87">
        <v>746</v>
      </c>
      <c r="D335" s="87" t="s">
        <v>140</v>
      </c>
      <c r="E335" s="87" t="s">
        <v>370</v>
      </c>
      <c r="F335" s="271"/>
      <c r="G335" s="269"/>
      <c r="H335" s="270"/>
      <c r="I335" s="115">
        <v>4254</v>
      </c>
      <c r="J335" s="107" t="str">
        <f t="shared" si="105"/>
        <v>SPT18HPTM/MSPSA3GGIO2.Ind4</v>
      </c>
      <c r="K335" s="103" t="str">
        <f t="shared" si="108"/>
        <v>18HPTM</v>
      </c>
      <c r="L335" s="104" t="str">
        <f t="shared" si="108"/>
        <v>GGIO2</v>
      </c>
      <c r="M335" s="82" t="s">
        <v>42</v>
      </c>
      <c r="N335" s="82" t="str">
        <f t="shared" si="107"/>
        <v>MSPSA3</v>
      </c>
      <c r="O335" s="82"/>
      <c r="P335" s="98"/>
      <c r="Q335" s="82"/>
      <c r="R335" s="82"/>
      <c r="S335" s="82">
        <f t="shared" si="103"/>
        <v>159</v>
      </c>
      <c r="T335" s="82" t="str">
        <f t="shared" si="104"/>
        <v>lb_dd159</v>
      </c>
      <c r="U335" s="82"/>
      <c r="V335" s="82"/>
      <c r="W335" s="82"/>
      <c r="X335" s="82">
        <v>26</v>
      </c>
    </row>
    <row r="336" spans="1:24" x14ac:dyDescent="0.3">
      <c r="A336" s="268"/>
      <c r="B336" s="268"/>
      <c r="C336" s="87">
        <v>747</v>
      </c>
      <c r="D336" s="87" t="s">
        <v>552</v>
      </c>
      <c r="E336" s="87" t="s">
        <v>208</v>
      </c>
      <c r="F336" s="271"/>
      <c r="G336" s="269"/>
      <c r="H336" s="270"/>
      <c r="I336" s="115">
        <v>4255</v>
      </c>
      <c r="J336" s="107" t="str">
        <f t="shared" si="105"/>
        <v>SPT18HPTM/MSPSA3GGIO2.Alm14</v>
      </c>
      <c r="K336" s="103" t="str">
        <f t="shared" si="108"/>
        <v>18HPTM</v>
      </c>
      <c r="L336" s="104" t="str">
        <f t="shared" si="108"/>
        <v>GGIO2</v>
      </c>
      <c r="M336" s="108" t="s">
        <v>222</v>
      </c>
      <c r="N336" s="82" t="str">
        <f t="shared" si="107"/>
        <v>MSPSA3</v>
      </c>
      <c r="O336" s="82"/>
      <c r="P336" s="98"/>
      <c r="Q336" s="82"/>
      <c r="R336" s="82"/>
      <c r="S336" s="82">
        <f t="shared" si="103"/>
        <v>160</v>
      </c>
      <c r="T336" s="82" t="str">
        <f t="shared" si="104"/>
        <v>lb_dd160</v>
      </c>
      <c r="U336" s="82"/>
      <c r="V336" s="82"/>
      <c r="W336" s="82"/>
      <c r="X336" s="82">
        <v>27</v>
      </c>
    </row>
    <row r="337" spans="1:24" x14ac:dyDescent="0.3">
      <c r="A337" s="268"/>
      <c r="B337" s="268"/>
      <c r="C337" s="87">
        <v>748</v>
      </c>
      <c r="D337" s="87" t="s">
        <v>553</v>
      </c>
      <c r="E337" s="87" t="s">
        <v>208</v>
      </c>
      <c r="F337" s="271"/>
      <c r="G337" s="269"/>
      <c r="H337" s="270"/>
      <c r="I337" s="115">
        <v>4256</v>
      </c>
      <c r="J337" s="107" t="str">
        <f t="shared" si="105"/>
        <v>SPT18HPTM/MSPSA3GGIO2.Alm15</v>
      </c>
      <c r="K337" s="103" t="str">
        <f t="shared" si="108"/>
        <v>18HPTM</v>
      </c>
      <c r="L337" s="104" t="str">
        <f t="shared" si="108"/>
        <v>GGIO2</v>
      </c>
      <c r="M337" s="108" t="s">
        <v>223</v>
      </c>
      <c r="N337" s="82" t="str">
        <f t="shared" si="107"/>
        <v>MSPSA3</v>
      </c>
      <c r="O337" s="82"/>
      <c r="P337" s="98"/>
      <c r="Q337" s="82"/>
      <c r="R337" s="82"/>
      <c r="S337" s="82">
        <f t="shared" si="103"/>
        <v>161</v>
      </c>
      <c r="T337" s="82" t="str">
        <f t="shared" si="104"/>
        <v>lb_dd161</v>
      </c>
      <c r="U337" s="82"/>
      <c r="V337" s="82"/>
      <c r="W337" s="82"/>
      <c r="X337" s="82">
        <v>28</v>
      </c>
    </row>
    <row r="338" spans="1:24" x14ac:dyDescent="0.3">
      <c r="A338" s="268"/>
      <c r="B338" s="268"/>
      <c r="C338" s="87">
        <v>749</v>
      </c>
      <c r="D338" s="87" t="s">
        <v>554</v>
      </c>
      <c r="E338" s="87" t="s">
        <v>208</v>
      </c>
      <c r="F338" s="271"/>
      <c r="G338" s="269"/>
      <c r="H338" s="270"/>
      <c r="I338" s="115">
        <v>4257</v>
      </c>
      <c r="J338" s="107" t="str">
        <f t="shared" si="105"/>
        <v>SPT18HPTM/MSPSA3GGIO2.Alm16</v>
      </c>
      <c r="K338" s="103" t="str">
        <f t="shared" si="108"/>
        <v>18HPTM</v>
      </c>
      <c r="L338" s="104" t="str">
        <f t="shared" si="108"/>
        <v>GGIO2</v>
      </c>
      <c r="M338" s="108" t="s">
        <v>224</v>
      </c>
      <c r="N338" s="82" t="str">
        <f t="shared" si="107"/>
        <v>MSPSA3</v>
      </c>
      <c r="O338" s="82"/>
      <c r="P338" s="98"/>
      <c r="Q338" s="82"/>
      <c r="R338" s="82"/>
      <c r="S338" s="82">
        <f t="shared" si="103"/>
        <v>162</v>
      </c>
      <c r="T338" s="82" t="str">
        <f t="shared" si="104"/>
        <v>lb_dd162</v>
      </c>
      <c r="U338" s="82"/>
      <c r="V338" s="82"/>
      <c r="W338" s="82"/>
      <c r="X338" s="82">
        <v>29</v>
      </c>
    </row>
  </sheetData>
  <mergeCells count="127">
    <mergeCell ref="A275:A307"/>
    <mergeCell ref="F284:F307"/>
    <mergeCell ref="G275:G307"/>
    <mergeCell ref="H284:H307"/>
    <mergeCell ref="G134:G137"/>
    <mergeCell ref="F145:F200"/>
    <mergeCell ref="G140:G200"/>
    <mergeCell ref="H145:H200"/>
    <mergeCell ref="B145:B200"/>
    <mergeCell ref="A140:A200"/>
    <mergeCell ref="A308:J308"/>
    <mergeCell ref="A309:J309"/>
    <mergeCell ref="A310:A338"/>
    <mergeCell ref="B310:B338"/>
    <mergeCell ref="F310:F318"/>
    <mergeCell ref="G310:G338"/>
    <mergeCell ref="H310:H318"/>
    <mergeCell ref="F319:F338"/>
    <mergeCell ref="H319:H338"/>
    <mergeCell ref="A273:J273"/>
    <mergeCell ref="A274:J274"/>
    <mergeCell ref="F275:F283"/>
    <mergeCell ref="H275:H283"/>
    <mergeCell ref="B275:B307"/>
    <mergeCell ref="A255:J255"/>
    <mergeCell ref="A256:J256"/>
    <mergeCell ref="A257:A272"/>
    <mergeCell ref="B257:B272"/>
    <mergeCell ref="F257:F272"/>
    <mergeCell ref="G257:G272"/>
    <mergeCell ref="H257:H272"/>
    <mergeCell ref="A237:J237"/>
    <mergeCell ref="A238:J238"/>
    <mergeCell ref="A239:A254"/>
    <mergeCell ref="B239:B254"/>
    <mergeCell ref="F239:F254"/>
    <mergeCell ref="G239:G254"/>
    <mergeCell ref="H239:H254"/>
    <mergeCell ref="A219:J219"/>
    <mergeCell ref="A220:J220"/>
    <mergeCell ref="A221:A236"/>
    <mergeCell ref="B221:B236"/>
    <mergeCell ref="F221:F236"/>
    <mergeCell ref="G221:G236"/>
    <mergeCell ref="H221:H236"/>
    <mergeCell ref="A201:J201"/>
    <mergeCell ref="A202:J202"/>
    <mergeCell ref="A203:A218"/>
    <mergeCell ref="B203:B218"/>
    <mergeCell ref="F203:F218"/>
    <mergeCell ref="G203:G218"/>
    <mergeCell ref="H203:H218"/>
    <mergeCell ref="N139:W139"/>
    <mergeCell ref="F140:F144"/>
    <mergeCell ref="H140:H144"/>
    <mergeCell ref="A138:J138"/>
    <mergeCell ref="A139:J139"/>
    <mergeCell ref="A129:J129"/>
    <mergeCell ref="A130:J130"/>
    <mergeCell ref="A132:J132"/>
    <mergeCell ref="A133:J133"/>
    <mergeCell ref="A95:J95"/>
    <mergeCell ref="A96:J96"/>
    <mergeCell ref="A97:A128"/>
    <mergeCell ref="B97:B128"/>
    <mergeCell ref="F97:F128"/>
    <mergeCell ref="G97:G128"/>
    <mergeCell ref="H97:H128"/>
    <mergeCell ref="A77:J77"/>
    <mergeCell ref="A78:J78"/>
    <mergeCell ref="A79:A94"/>
    <mergeCell ref="B79:B94"/>
    <mergeCell ref="F79:F94"/>
    <mergeCell ref="G79:G94"/>
    <mergeCell ref="H79:H94"/>
    <mergeCell ref="A67:J67"/>
    <mergeCell ref="A68:J68"/>
    <mergeCell ref="A69:A76"/>
    <mergeCell ref="B69:B76"/>
    <mergeCell ref="F69:F72"/>
    <mergeCell ref="G69:G76"/>
    <mergeCell ref="H69:H72"/>
    <mergeCell ref="F73:F76"/>
    <mergeCell ref="H73:H76"/>
    <mergeCell ref="A57:J57"/>
    <mergeCell ref="A58:J58"/>
    <mergeCell ref="A59:A66"/>
    <mergeCell ref="B59:B66"/>
    <mergeCell ref="F59:F62"/>
    <mergeCell ref="G59:G66"/>
    <mergeCell ref="H59:H62"/>
    <mergeCell ref="F63:F66"/>
    <mergeCell ref="H63:H66"/>
    <mergeCell ref="A39:J39"/>
    <mergeCell ref="A40:J40"/>
    <mergeCell ref="A41:A56"/>
    <mergeCell ref="B41:B56"/>
    <mergeCell ref="F41:F56"/>
    <mergeCell ref="G41:G56"/>
    <mergeCell ref="H41:H56"/>
    <mergeCell ref="A21:J21"/>
    <mergeCell ref="A22:J22"/>
    <mergeCell ref="A23:A38"/>
    <mergeCell ref="B23:B38"/>
    <mergeCell ref="F23:F38"/>
    <mergeCell ref="G23:G38"/>
    <mergeCell ref="H23:H38"/>
    <mergeCell ref="P1:P2"/>
    <mergeCell ref="A3:J3"/>
    <mergeCell ref="A4:J4"/>
    <mergeCell ref="A5:A20"/>
    <mergeCell ref="B5:B20"/>
    <mergeCell ref="F5:F20"/>
    <mergeCell ref="G5:G20"/>
    <mergeCell ref="H5:H20"/>
    <mergeCell ref="J1:J2"/>
    <mergeCell ref="K1:K2"/>
    <mergeCell ref="L1:L2"/>
    <mergeCell ref="M1:M2"/>
    <mergeCell ref="N1:N2"/>
    <mergeCell ref="O1:O2"/>
    <mergeCell ref="A1:C1"/>
    <mergeCell ref="D1:D2"/>
    <mergeCell ref="E1:E2"/>
    <mergeCell ref="F1:F2"/>
    <mergeCell ref="G1:G2"/>
    <mergeCell ref="H1:I1"/>
  </mergeCells>
  <conditionalFormatting sqref="I1:I2">
    <cfRule type="duplicateValues" dxfId="23" priority="24"/>
  </conditionalFormatting>
  <conditionalFormatting sqref="I4:I20">
    <cfRule type="duplicateValues" dxfId="22" priority="23"/>
  </conditionalFormatting>
  <conditionalFormatting sqref="I22:I38">
    <cfRule type="duplicateValues" dxfId="21" priority="22"/>
  </conditionalFormatting>
  <conditionalFormatting sqref="I40:I56">
    <cfRule type="duplicateValues" dxfId="20" priority="21"/>
  </conditionalFormatting>
  <conditionalFormatting sqref="I57 I59:I66">
    <cfRule type="duplicateValues" dxfId="19" priority="20"/>
  </conditionalFormatting>
  <conditionalFormatting sqref="I67 I69:I76">
    <cfRule type="duplicateValues" dxfId="18" priority="19"/>
  </conditionalFormatting>
  <conditionalFormatting sqref="I78:I94">
    <cfRule type="duplicateValues" dxfId="17" priority="18"/>
  </conditionalFormatting>
  <conditionalFormatting sqref="I95">
    <cfRule type="duplicateValues" dxfId="16" priority="17"/>
  </conditionalFormatting>
  <conditionalFormatting sqref="I97:I114">
    <cfRule type="duplicateValues" dxfId="15" priority="16"/>
  </conditionalFormatting>
  <conditionalFormatting sqref="I129">
    <cfRule type="duplicateValues" dxfId="14" priority="15"/>
  </conditionalFormatting>
  <conditionalFormatting sqref="I131">
    <cfRule type="duplicateValues" dxfId="13" priority="14"/>
  </conditionalFormatting>
  <conditionalFormatting sqref="I134">
    <cfRule type="duplicateValues" dxfId="12" priority="13"/>
  </conditionalFormatting>
  <conditionalFormatting sqref="I135">
    <cfRule type="duplicateValues" dxfId="11" priority="12"/>
  </conditionalFormatting>
  <conditionalFormatting sqref="I136">
    <cfRule type="duplicateValues" dxfId="10" priority="11"/>
  </conditionalFormatting>
  <conditionalFormatting sqref="I137">
    <cfRule type="duplicateValues" dxfId="9" priority="10"/>
  </conditionalFormatting>
  <conditionalFormatting sqref="I138 I140:I144">
    <cfRule type="duplicateValues" dxfId="8" priority="9"/>
  </conditionalFormatting>
  <conditionalFormatting sqref="I202:I218">
    <cfRule type="duplicateValues" dxfId="7" priority="8"/>
  </conditionalFormatting>
  <conditionalFormatting sqref="I220:I236">
    <cfRule type="duplicateValues" dxfId="6" priority="7"/>
  </conditionalFormatting>
  <conditionalFormatting sqref="I238:I254">
    <cfRule type="duplicateValues" dxfId="5" priority="6"/>
  </conditionalFormatting>
  <conditionalFormatting sqref="I256:I264">
    <cfRule type="duplicateValues" dxfId="4" priority="5"/>
  </conditionalFormatting>
  <conditionalFormatting sqref="I275:I307">
    <cfRule type="duplicateValues" dxfId="3" priority="4"/>
  </conditionalFormatting>
  <conditionalFormatting sqref="I310:I338">
    <cfRule type="duplicateValues" dxfId="2" priority="3"/>
  </conditionalFormatting>
  <conditionalFormatting sqref="M1:M1048576">
    <cfRule type="containsText" dxfId="1" priority="1" operator="containsText" text="Alm">
      <formula>NOT(ISERROR(SEARCH("Alm",M1)))</formula>
    </cfRule>
    <cfRule type="containsText" dxfId="0" priority="2" operator="containsText" text="Ind">
      <formula>NOT(ISERROR(SEARCH("Ind",M1)))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адреса 61850</vt:lpstr>
      <vt:lpstr>адреса 60870</vt:lpstr>
      <vt:lpstr>приборы</vt:lpstr>
      <vt:lpstr>Лист2</vt:lpstr>
      <vt:lpstr>Рабочка</vt:lpstr>
      <vt:lpstr>'адреса 60870'!Область_печати</vt:lpstr>
      <vt:lpstr>'адреса 61850'!Область_печати</vt:lpstr>
    </vt:vector>
  </TitlesOfParts>
  <Company>Contact Company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Соломин Павел Владимирович</dc:creator>
  <cp:lastModifiedBy>Шубадеев Никита Олегович</cp:lastModifiedBy>
  <cp:lastPrinted>2023-07-15T07:44:53Z</cp:lastPrinted>
  <dcterms:created xsi:type="dcterms:W3CDTF">2015-08-02T09:03:19Z</dcterms:created>
  <dcterms:modified xsi:type="dcterms:W3CDTF">2024-10-17T09:48:25Z</dcterms:modified>
</cp:coreProperties>
</file>